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MSIT\OneDrive\Desktop\"/>
    </mc:Choice>
  </mc:AlternateContent>
  <bookViews>
    <workbookView xWindow="0" yWindow="0" windowWidth="17100" windowHeight="11880" activeTab="2"/>
  </bookViews>
  <sheets>
    <sheet name="30" sheetId="1" r:id="rId1"/>
    <sheet name="45" sheetId="2" r:id="rId2"/>
    <sheet name="6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3" l="1"/>
  <c r="I16" i="3"/>
  <c r="A45" i="3"/>
  <c r="B45" i="3"/>
  <c r="C45" i="3"/>
  <c r="B46" i="3"/>
  <c r="C46" i="3"/>
  <c r="B47" i="3"/>
  <c r="C47" i="3"/>
  <c r="B48" i="3"/>
  <c r="C48" i="3"/>
  <c r="B49" i="3"/>
  <c r="C49" i="3"/>
  <c r="B50" i="3"/>
  <c r="C50" i="3"/>
  <c r="A43" i="3"/>
  <c r="B43" i="3"/>
  <c r="C43" i="3"/>
  <c r="B44" i="3"/>
  <c r="C44" i="3"/>
  <c r="A40" i="3"/>
  <c r="B40" i="3"/>
  <c r="C40" i="3"/>
  <c r="B41" i="3"/>
  <c r="C41" i="3"/>
  <c r="B42" i="3"/>
  <c r="C42" i="3"/>
  <c r="A36" i="3"/>
  <c r="B36" i="3"/>
  <c r="C36" i="3"/>
  <c r="B37" i="3"/>
  <c r="C37" i="3"/>
  <c r="B38" i="3"/>
  <c r="C38" i="3"/>
  <c r="B39" i="3"/>
  <c r="C39" i="3"/>
  <c r="I17" i="1"/>
  <c r="I17" i="2"/>
  <c r="A46" i="3" l="1"/>
  <c r="A44" i="3"/>
  <c r="A41" i="3"/>
  <c r="A37" i="3"/>
  <c r="E36" i="3"/>
  <c r="A43" i="2"/>
  <c r="D43" i="2" s="1"/>
  <c r="B43" i="2"/>
  <c r="C43" i="2"/>
  <c r="A36" i="2"/>
  <c r="D36" i="2" s="1"/>
  <c r="B36" i="2"/>
  <c r="C36" i="2"/>
  <c r="B37" i="2"/>
  <c r="C37" i="2"/>
  <c r="B38" i="2"/>
  <c r="C38" i="2"/>
  <c r="B39" i="2"/>
  <c r="C39" i="2"/>
  <c r="B40" i="2"/>
  <c r="C40" i="2"/>
  <c r="B41" i="2"/>
  <c r="C41" i="2"/>
  <c r="B42" i="2"/>
  <c r="C42" i="2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E45" i="3" s="1"/>
  <c r="B15" i="3"/>
  <c r="D45" i="3" s="1"/>
  <c r="A15" i="3"/>
  <c r="A16" i="3" s="1"/>
  <c r="C35" i="2"/>
  <c r="B35" i="2"/>
  <c r="C34" i="2"/>
  <c r="B34" i="2"/>
  <c r="C33" i="2"/>
  <c r="B33" i="2"/>
  <c r="C32" i="2"/>
  <c r="B32" i="2"/>
  <c r="C31" i="2"/>
  <c r="B31" i="2"/>
  <c r="C30" i="2"/>
  <c r="B30" i="2"/>
  <c r="C29" i="2"/>
  <c r="B29" i="2"/>
  <c r="C28" i="2"/>
  <c r="B28" i="2"/>
  <c r="C27" i="2"/>
  <c r="B27" i="2"/>
  <c r="C26" i="2"/>
  <c r="B26" i="2"/>
  <c r="C25" i="2"/>
  <c r="B25" i="2"/>
  <c r="C24" i="2"/>
  <c r="B24" i="2"/>
  <c r="C23" i="2"/>
  <c r="B23" i="2"/>
  <c r="C22" i="2"/>
  <c r="B22" i="2"/>
  <c r="C21" i="2"/>
  <c r="B21" i="2"/>
  <c r="C20" i="2"/>
  <c r="B20" i="2"/>
  <c r="C19" i="2"/>
  <c r="B19" i="2"/>
  <c r="C18" i="2"/>
  <c r="B18" i="2"/>
  <c r="C17" i="2"/>
  <c r="B17" i="2"/>
  <c r="I16" i="2"/>
  <c r="C16" i="2"/>
  <c r="B16" i="2"/>
  <c r="C15" i="2"/>
  <c r="E15" i="2" s="1"/>
  <c r="B15" i="2"/>
  <c r="A15" i="2"/>
  <c r="A16" i="2" s="1"/>
  <c r="A17" i="2" s="1"/>
  <c r="A18" i="2" s="1"/>
  <c r="I16" i="1"/>
  <c r="A23" i="1"/>
  <c r="C35" i="1"/>
  <c r="B35" i="1"/>
  <c r="C34" i="1"/>
  <c r="B34" i="1"/>
  <c r="C33" i="1"/>
  <c r="B33" i="1"/>
  <c r="C32" i="1"/>
  <c r="B32" i="1"/>
  <c r="C31" i="1"/>
  <c r="B31" i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A15" i="1"/>
  <c r="A16" i="1" s="1"/>
  <c r="A17" i="1" s="1"/>
  <c r="A18" i="1" s="1"/>
  <c r="E40" i="3" l="1"/>
  <c r="E43" i="3"/>
  <c r="D36" i="3"/>
  <c r="D43" i="3"/>
  <c r="D40" i="3"/>
  <c r="D46" i="3"/>
  <c r="E46" i="3"/>
  <c r="A47" i="3"/>
  <c r="D44" i="3"/>
  <c r="E44" i="3"/>
  <c r="D41" i="3"/>
  <c r="E41" i="3"/>
  <c r="A42" i="3"/>
  <c r="D37" i="3"/>
  <c r="E37" i="3"/>
  <c r="A38" i="3"/>
  <c r="E43" i="2"/>
  <c r="A37" i="2"/>
  <c r="E36" i="2"/>
  <c r="D16" i="3"/>
  <c r="A17" i="3"/>
  <c r="E16" i="3"/>
  <c r="D15" i="3"/>
  <c r="E15" i="3"/>
  <c r="A19" i="2"/>
  <c r="A20" i="2" s="1"/>
  <c r="A21" i="2" s="1"/>
  <c r="A22" i="2" s="1"/>
  <c r="E18" i="2"/>
  <c r="D18" i="2"/>
  <c r="D16" i="2"/>
  <c r="E16" i="2"/>
  <c r="D17" i="2"/>
  <c r="E17" i="2"/>
  <c r="D21" i="2"/>
  <c r="D15" i="2"/>
  <c r="A19" i="1"/>
  <c r="A20" i="1" s="1"/>
  <c r="A21" i="1" s="1"/>
  <c r="A22" i="1" s="1"/>
  <c r="E18" i="1"/>
  <c r="D18" i="1"/>
  <c r="D15" i="1"/>
  <c r="D19" i="1"/>
  <c r="E15" i="1"/>
  <c r="E19" i="1"/>
  <c r="D16" i="1"/>
  <c r="D20" i="1"/>
  <c r="E16" i="1"/>
  <c r="E20" i="1"/>
  <c r="D17" i="1"/>
  <c r="D21" i="1"/>
  <c r="E17" i="1"/>
  <c r="E21" i="1"/>
  <c r="D47" i="3" l="1"/>
  <c r="E47" i="3"/>
  <c r="A48" i="3"/>
  <c r="D42" i="3"/>
  <c r="E42" i="3"/>
  <c r="D38" i="3"/>
  <c r="E38" i="3"/>
  <c r="A39" i="3"/>
  <c r="D37" i="2"/>
  <c r="E37" i="2"/>
  <c r="A38" i="2"/>
  <c r="A18" i="3"/>
  <c r="E17" i="3"/>
  <c r="D17" i="3"/>
  <c r="D20" i="2"/>
  <c r="E20" i="2"/>
  <c r="D19" i="2"/>
  <c r="E21" i="2"/>
  <c r="E19" i="2"/>
  <c r="D22" i="2"/>
  <c r="A23" i="2"/>
  <c r="E22" i="2"/>
  <c r="E22" i="1"/>
  <c r="D22" i="1"/>
  <c r="D48" i="3" l="1"/>
  <c r="E48" i="3"/>
  <c r="A49" i="3"/>
  <c r="D39" i="3"/>
  <c r="E39" i="3"/>
  <c r="D38" i="2"/>
  <c r="E38" i="2"/>
  <c r="A39" i="2"/>
  <c r="A19" i="3"/>
  <c r="E18" i="3"/>
  <c r="D18" i="3"/>
  <c r="A24" i="2"/>
  <c r="E23" i="2"/>
  <c r="D23" i="2"/>
  <c r="A24" i="1"/>
  <c r="D23" i="1"/>
  <c r="E23" i="1"/>
  <c r="D49" i="3" l="1"/>
  <c r="E49" i="3"/>
  <c r="A50" i="3"/>
  <c r="D39" i="2"/>
  <c r="A40" i="2"/>
  <c r="E39" i="2"/>
  <c r="A20" i="3"/>
  <c r="D19" i="3"/>
  <c r="E19" i="3"/>
  <c r="A25" i="2"/>
  <c r="D24" i="2"/>
  <c r="E24" i="2"/>
  <c r="A25" i="1"/>
  <c r="E24" i="1"/>
  <c r="D24" i="1"/>
  <c r="D50" i="3" l="1"/>
  <c r="E50" i="3"/>
  <c r="D40" i="2"/>
  <c r="E40" i="2"/>
  <c r="A41" i="2"/>
  <c r="A21" i="3"/>
  <c r="E20" i="3"/>
  <c r="D20" i="3"/>
  <c r="A26" i="2"/>
  <c r="D25" i="2"/>
  <c r="E25" i="2"/>
  <c r="A26" i="1"/>
  <c r="D25" i="1"/>
  <c r="E25" i="1"/>
  <c r="D41" i="2" l="1"/>
  <c r="E41" i="2"/>
  <c r="A42" i="2"/>
  <c r="A22" i="3"/>
  <c r="E21" i="3"/>
  <c r="D21" i="3"/>
  <c r="A27" i="2"/>
  <c r="E26" i="2"/>
  <c r="D26" i="2"/>
  <c r="A27" i="1"/>
  <c r="E26" i="1"/>
  <c r="D26" i="1"/>
  <c r="E42" i="2" l="1"/>
  <c r="D42" i="2"/>
  <c r="A23" i="3"/>
  <c r="E22" i="3"/>
  <c r="D22" i="3"/>
  <c r="A28" i="2"/>
  <c r="E27" i="2"/>
  <c r="D27" i="2"/>
  <c r="A28" i="1"/>
  <c r="D27" i="1"/>
  <c r="E27" i="1"/>
  <c r="A24" i="3" l="1"/>
  <c r="D23" i="3"/>
  <c r="E23" i="3"/>
  <c r="A29" i="2"/>
  <c r="D28" i="2"/>
  <c r="E28" i="2"/>
  <c r="A29" i="1"/>
  <c r="D28" i="1"/>
  <c r="E28" i="1"/>
  <c r="A25" i="3" l="1"/>
  <c r="E24" i="3"/>
  <c r="D24" i="3"/>
  <c r="A30" i="2"/>
  <c r="D29" i="2"/>
  <c r="E29" i="2"/>
  <c r="A30" i="1"/>
  <c r="D29" i="1"/>
  <c r="E29" i="1"/>
  <c r="E25" i="3" l="1"/>
  <c r="A26" i="3"/>
  <c r="D25" i="3"/>
  <c r="A31" i="2"/>
  <c r="E30" i="2"/>
  <c r="D30" i="2"/>
  <c r="A31" i="1"/>
  <c r="E30" i="1"/>
  <c r="D30" i="1"/>
  <c r="E26" i="3" l="1"/>
  <c r="D26" i="3"/>
  <c r="A27" i="3"/>
  <c r="A32" i="2"/>
  <c r="E31" i="2"/>
  <c r="D31" i="2"/>
  <c r="A32" i="1"/>
  <c r="D31" i="1"/>
  <c r="E31" i="1"/>
  <c r="A28" i="3" l="1"/>
  <c r="E27" i="3"/>
  <c r="D27" i="3"/>
  <c r="A33" i="2"/>
  <c r="D32" i="2"/>
  <c r="E32" i="2"/>
  <c r="A33" i="1"/>
  <c r="D32" i="1"/>
  <c r="E32" i="1"/>
  <c r="A29" i="3" l="1"/>
  <c r="E28" i="3"/>
  <c r="D28" i="3"/>
  <c r="A34" i="2"/>
  <c r="D33" i="2"/>
  <c r="E33" i="2"/>
  <c r="A34" i="1"/>
  <c r="D33" i="1"/>
  <c r="E33" i="1"/>
  <c r="A30" i="3" l="1"/>
  <c r="E29" i="3"/>
  <c r="D29" i="3"/>
  <c r="A35" i="2"/>
  <c r="E34" i="2"/>
  <c r="D34" i="2"/>
  <c r="A35" i="1"/>
  <c r="E34" i="1"/>
  <c r="D34" i="1"/>
  <c r="D30" i="3" l="1"/>
  <c r="A31" i="3"/>
  <c r="E30" i="3"/>
  <c r="D35" i="2"/>
  <c r="E35" i="2"/>
  <c r="D35" i="1"/>
  <c r="E35" i="1"/>
  <c r="A32" i="3" l="1"/>
  <c r="D31" i="3"/>
  <c r="E31" i="3"/>
  <c r="E32" i="3" l="1"/>
  <c r="D32" i="3"/>
  <c r="A33" i="3"/>
  <c r="E33" i="3" l="1"/>
  <c r="A34" i="3"/>
  <c r="D33" i="3"/>
  <c r="A35" i="3" l="1"/>
  <c r="E34" i="3"/>
  <c r="D34" i="3"/>
  <c r="E35" i="3" l="1"/>
  <c r="D35" i="3"/>
</calcChain>
</file>

<file path=xl/sharedStrings.xml><?xml version="1.0" encoding="utf-8"?>
<sst xmlns="http://schemas.openxmlformats.org/spreadsheetml/2006/main" count="81" uniqueCount="27">
  <si>
    <t xml:space="preserve">Name </t>
  </si>
  <si>
    <t xml:space="preserve">PROJECTILE MOTION USING SPREAD SHEETS </t>
  </si>
  <si>
    <t>USN</t>
  </si>
  <si>
    <t>SEC</t>
  </si>
  <si>
    <t xml:space="preserve">BATCH </t>
  </si>
  <si>
    <t>DATE</t>
  </si>
  <si>
    <t>VO</t>
  </si>
  <si>
    <t xml:space="preserve">Angle </t>
  </si>
  <si>
    <t>g</t>
  </si>
  <si>
    <t>dt</t>
  </si>
  <si>
    <t>m/s</t>
  </si>
  <si>
    <t>degree</t>
  </si>
  <si>
    <t>m/s2</t>
  </si>
  <si>
    <t>s</t>
  </si>
  <si>
    <t>Times(S)</t>
  </si>
  <si>
    <t>Vx(m/s)</t>
  </si>
  <si>
    <t>Vy(m/s)</t>
  </si>
  <si>
    <t>X(m)</t>
  </si>
  <si>
    <t>Y(m)</t>
  </si>
  <si>
    <t>Bibek Kumar Singh</t>
  </si>
  <si>
    <t>1BY25CS072</t>
  </si>
  <si>
    <t>CSE 05</t>
  </si>
  <si>
    <t>Result</t>
  </si>
  <si>
    <t xml:space="preserve">Graphical </t>
  </si>
  <si>
    <t>Theoretical</t>
  </si>
  <si>
    <t>Range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</si>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</sst>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4" borderId="10" xfId="0" applyFont="1" applyFill="1" applyBorder="1"/>
    <xf numFmtId="0" fontId="0" fillId="4" borderId="11" xfId="0" applyFill="1" applyBorder="1"/>
    <xf numFmtId="0" fontId="0" fillId="4" borderId="12" xfId="0" applyFill="1" applyBorder="1"/>
    <xf numFmtId="0" fontId="0" fillId="2" borderId="1" xfId="0" applyFill="1" applyBorder="1"/>
    <xf numFmtId="0" fontId="0" fillId="3" borderId="1" xfId="0" applyFill="1" applyBorder="1"/>
    <xf numFmtId="14" fontId="0" fillId="0" borderId="6" xfId="0" applyNumberFormat="1" applyBorder="1"/>
  </cellXfs>
  <cellStyles count="1">
    <cellStyle name="Normal" xfId="0" builtinId="0"/>
  </cellStyles>
  <dxfs count="0"/>
  <tableStyles count="1" defaultTableStyle="TableStyleMedium2" defaultPivotStyle="PivotStyleLight16">
    <tableStyle name="Table Style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'30'!$E$13</c:f>
              <c:strCache>
                <c:ptCount val="1"/>
                <c:pt idx="0">
                  <c:v>Y(m)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'30'!$D$14:$D$35</c:f>
              <c:numCache>
                <c:formatCode>General</c:formatCode>
                <c:ptCount val="22"/>
                <c:pt idx="0">
                  <c:v>0</c:v>
                </c:pt>
                <c:pt idx="1">
                  <c:v>43.301270189221938</c:v>
                </c:pt>
                <c:pt idx="2">
                  <c:v>86.602540378443877</c:v>
                </c:pt>
                <c:pt idx="3">
                  <c:v>129.9038105676658</c:v>
                </c:pt>
                <c:pt idx="4">
                  <c:v>173.20508075688775</c:v>
                </c:pt>
                <c:pt idx="5">
                  <c:v>216.50635094610971</c:v>
                </c:pt>
                <c:pt idx="6">
                  <c:v>259.8076211353316</c:v>
                </c:pt>
                <c:pt idx="7">
                  <c:v>303.10889132455355</c:v>
                </c:pt>
                <c:pt idx="8">
                  <c:v>346.41016151377551</c:v>
                </c:pt>
                <c:pt idx="9">
                  <c:v>389.71143170299746</c:v>
                </c:pt>
                <c:pt idx="10">
                  <c:v>433.01270189221941</c:v>
                </c:pt>
                <c:pt idx="11">
                  <c:v>476.31397208144131</c:v>
                </c:pt>
                <c:pt idx="12">
                  <c:v>519.6152422706632</c:v>
                </c:pt>
                <c:pt idx="13">
                  <c:v>562.91651245988521</c:v>
                </c:pt>
                <c:pt idx="14">
                  <c:v>606.21778264910711</c:v>
                </c:pt>
                <c:pt idx="15">
                  <c:v>649.51905283832912</c:v>
                </c:pt>
                <c:pt idx="16">
                  <c:v>692.82032302755101</c:v>
                </c:pt>
                <c:pt idx="17">
                  <c:v>736.12159321677291</c:v>
                </c:pt>
                <c:pt idx="18">
                  <c:v>779.42286340599492</c:v>
                </c:pt>
                <c:pt idx="19">
                  <c:v>822.72413359521681</c:v>
                </c:pt>
                <c:pt idx="20">
                  <c:v>866.02540378443882</c:v>
                </c:pt>
                <c:pt idx="21">
                  <c:v>909.32667397366072</c:v>
                </c:pt>
              </c:numCache>
            </c:numRef>
          </c:xVal>
          <c:yVal>
            <c:numRef>
              <c:f>'30'!$E$14:$E$35</c:f>
              <c:numCache>
                <c:formatCode>General</c:formatCode>
                <c:ptCount val="22"/>
                <c:pt idx="0">
                  <c:v>0</c:v>
                </c:pt>
                <c:pt idx="1">
                  <c:v>23.774999999999995</c:v>
                </c:pt>
                <c:pt idx="2">
                  <c:v>45.099999999999994</c:v>
                </c:pt>
                <c:pt idx="3">
                  <c:v>63.974999999999987</c:v>
                </c:pt>
                <c:pt idx="4">
                  <c:v>80.399999999999977</c:v>
                </c:pt>
                <c:pt idx="5">
                  <c:v>94.374999999999986</c:v>
                </c:pt>
                <c:pt idx="6">
                  <c:v>105.89999999999998</c:v>
                </c:pt>
                <c:pt idx="7">
                  <c:v>114.97499999999997</c:v>
                </c:pt>
                <c:pt idx="8">
                  <c:v>121.59999999999997</c:v>
                </c:pt>
                <c:pt idx="9">
                  <c:v>125.77499999999996</c:v>
                </c:pt>
                <c:pt idx="10">
                  <c:v>127.49999999999997</c:v>
                </c:pt>
                <c:pt idx="11">
                  <c:v>126.77499999999992</c:v>
                </c:pt>
                <c:pt idx="12">
                  <c:v>123.59999999999994</c:v>
                </c:pt>
                <c:pt idx="13">
                  <c:v>117.97499999999994</c:v>
                </c:pt>
                <c:pt idx="14">
                  <c:v>109.89999999999992</c:v>
                </c:pt>
                <c:pt idx="15">
                  <c:v>99.374999999999943</c:v>
                </c:pt>
                <c:pt idx="16">
                  <c:v>86.39999999999992</c:v>
                </c:pt>
                <c:pt idx="17">
                  <c:v>70.974999999999909</c:v>
                </c:pt>
                <c:pt idx="18">
                  <c:v>53.099999999999909</c:v>
                </c:pt>
                <c:pt idx="19">
                  <c:v>32.77499999999992</c:v>
                </c:pt>
                <c:pt idx="20">
                  <c:v>9.9999999999999432</c:v>
                </c:pt>
                <c:pt idx="21">
                  <c:v>-15.225000000000136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C5-4F6A-9F9B-5E2BE9633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1131423"/>
        <c:axId val="1141139327"/>
      </c:scatterChart>
      <c:valAx>
        <c:axId val="1141131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39327"/>
        <c:crosses val="autoZero"/>
        <c:crossBetween val="midCat"/>
      </c:valAx>
      <c:valAx>
        <c:axId val="114113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131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'45'!$E$13</c:f>
              <c:strCache>
                <c:ptCount val="1"/>
                <c:pt idx="0">
                  <c:v>Y(m)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'45'!$D$14:$D$43</c:f>
              <c:numCache>
                <c:formatCode>General</c:formatCode>
                <c:ptCount val="30"/>
                <c:pt idx="0">
                  <c:v>0</c:v>
                </c:pt>
                <c:pt idx="1">
                  <c:v>35.355339059327378</c:v>
                </c:pt>
                <c:pt idx="2">
                  <c:v>70.710678118654755</c:v>
                </c:pt>
                <c:pt idx="3">
                  <c:v>106.06601717798213</c:v>
                </c:pt>
                <c:pt idx="4">
                  <c:v>141.42135623730951</c:v>
                </c:pt>
                <c:pt idx="5">
                  <c:v>176.77669529663689</c:v>
                </c:pt>
                <c:pt idx="6">
                  <c:v>212.13203435596427</c:v>
                </c:pt>
                <c:pt idx="7">
                  <c:v>247.48737341529164</c:v>
                </c:pt>
                <c:pt idx="8">
                  <c:v>282.84271247461902</c:v>
                </c:pt>
                <c:pt idx="9">
                  <c:v>318.1980515339464</c:v>
                </c:pt>
                <c:pt idx="10">
                  <c:v>353.55339059327378</c:v>
                </c:pt>
                <c:pt idx="11">
                  <c:v>388.90872965260115</c:v>
                </c:pt>
                <c:pt idx="12">
                  <c:v>424.26406871192853</c:v>
                </c:pt>
                <c:pt idx="13">
                  <c:v>459.61940777125591</c:v>
                </c:pt>
                <c:pt idx="14">
                  <c:v>494.97474683058329</c:v>
                </c:pt>
                <c:pt idx="15">
                  <c:v>530.33008588991061</c:v>
                </c:pt>
                <c:pt idx="16">
                  <c:v>565.68542494923804</c:v>
                </c:pt>
                <c:pt idx="17">
                  <c:v>601.04076400856547</c:v>
                </c:pt>
                <c:pt idx="18">
                  <c:v>636.3961030678928</c:v>
                </c:pt>
                <c:pt idx="19">
                  <c:v>671.75144212722012</c:v>
                </c:pt>
                <c:pt idx="20">
                  <c:v>707.10678118654755</c:v>
                </c:pt>
                <c:pt idx="21">
                  <c:v>742.46212024587498</c:v>
                </c:pt>
                <c:pt idx="22">
                  <c:v>777.81745930520231</c:v>
                </c:pt>
                <c:pt idx="23">
                  <c:v>813.17279836452963</c:v>
                </c:pt>
                <c:pt idx="24">
                  <c:v>848.52813742385706</c:v>
                </c:pt>
                <c:pt idx="25">
                  <c:v>883.8834764831845</c:v>
                </c:pt>
                <c:pt idx="26">
                  <c:v>919.23881554251182</c:v>
                </c:pt>
                <c:pt idx="27">
                  <c:v>954.59415460183914</c:v>
                </c:pt>
                <c:pt idx="28">
                  <c:v>989.94949366116657</c:v>
                </c:pt>
                <c:pt idx="29">
                  <c:v>1025.304832720494</c:v>
                </c:pt>
              </c:numCache>
            </c:numRef>
          </c:xVal>
          <c:yVal>
            <c:numRef>
              <c:f>'45'!$E$14:$E$43</c:f>
              <c:numCache>
                <c:formatCode>General</c:formatCode>
                <c:ptCount val="30"/>
                <c:pt idx="0">
                  <c:v>0</c:v>
                </c:pt>
                <c:pt idx="1">
                  <c:v>34.130339059327369</c:v>
                </c:pt>
                <c:pt idx="2">
                  <c:v>65.810678118654735</c:v>
                </c:pt>
                <c:pt idx="3">
                  <c:v>95.041017177982098</c:v>
                </c:pt>
                <c:pt idx="4">
                  <c:v>121.82135623730949</c:v>
                </c:pt>
                <c:pt idx="5">
                  <c:v>146.15169529663686</c:v>
                </c:pt>
                <c:pt idx="6">
                  <c:v>168.03203435596421</c:v>
                </c:pt>
                <c:pt idx="7">
                  <c:v>187.46237341529158</c:v>
                </c:pt>
                <c:pt idx="8">
                  <c:v>204.44271247461896</c:v>
                </c:pt>
                <c:pt idx="9">
                  <c:v>218.97305153394632</c:v>
                </c:pt>
                <c:pt idx="10">
                  <c:v>231.05339059327372</c:v>
                </c:pt>
                <c:pt idx="11">
                  <c:v>240.68372965260107</c:v>
                </c:pt>
                <c:pt idx="12">
                  <c:v>247.86406871192841</c:v>
                </c:pt>
                <c:pt idx="13">
                  <c:v>252.59440777125579</c:v>
                </c:pt>
                <c:pt idx="14">
                  <c:v>254.87474683058315</c:v>
                </c:pt>
                <c:pt idx="15">
                  <c:v>254.70508588991061</c:v>
                </c:pt>
                <c:pt idx="16">
                  <c:v>252.0854249492379</c:v>
                </c:pt>
                <c:pt idx="17">
                  <c:v>247.01576400856521</c:v>
                </c:pt>
                <c:pt idx="18">
                  <c:v>239.49610306789265</c:v>
                </c:pt>
                <c:pt idx="19">
                  <c:v>229.52644212721998</c:v>
                </c:pt>
                <c:pt idx="20">
                  <c:v>217.10678118654744</c:v>
                </c:pt>
                <c:pt idx="21">
                  <c:v>202.23712024587473</c:v>
                </c:pt>
                <c:pt idx="22">
                  <c:v>184.9174593052021</c:v>
                </c:pt>
                <c:pt idx="23">
                  <c:v>165.14779836452954</c:v>
                </c:pt>
                <c:pt idx="24">
                  <c:v>142.92813742385681</c:v>
                </c:pt>
                <c:pt idx="25">
                  <c:v>118.25847648318415</c:v>
                </c:pt>
                <c:pt idx="26">
                  <c:v>91.138815542511566</c:v>
                </c:pt>
                <c:pt idx="27">
                  <c:v>61.569154601838932</c:v>
                </c:pt>
                <c:pt idx="28">
                  <c:v>29.549493661166252</c:v>
                </c:pt>
                <c:pt idx="29">
                  <c:v>-4.9201672795063587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C-4A80-B189-24AB815F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5440367"/>
        <c:axId val="1045444943"/>
      </c:scatterChart>
      <c:valAx>
        <c:axId val="104544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44943"/>
        <c:crosses val="autoZero"/>
        <c:crossBetween val="midCat"/>
      </c:valAx>
      <c:valAx>
        <c:axId val="104544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4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'60'!$E$13</c:f>
              <c:strCache>
                <c:ptCount val="1"/>
                <c:pt idx="0">
                  <c:v>Y(m)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'60'!$D$14:$D$50</c:f>
              <c:numCache>
                <c:formatCode>General</c:formatCode>
                <c:ptCount val="37"/>
                <c:pt idx="0">
                  <c:v>0</c:v>
                </c:pt>
                <c:pt idx="1">
                  <c:v>25.000000000000007</c:v>
                </c:pt>
                <c:pt idx="2">
                  <c:v>50.000000000000014</c:v>
                </c:pt>
                <c:pt idx="3">
                  <c:v>75.000000000000028</c:v>
                </c:pt>
                <c:pt idx="4">
                  <c:v>100.00000000000003</c:v>
                </c:pt>
                <c:pt idx="5">
                  <c:v>125.00000000000003</c:v>
                </c:pt>
                <c:pt idx="6">
                  <c:v>150.00000000000006</c:v>
                </c:pt>
                <c:pt idx="7">
                  <c:v>175.00000000000006</c:v>
                </c:pt>
                <c:pt idx="8">
                  <c:v>200.00000000000006</c:v>
                </c:pt>
                <c:pt idx="9">
                  <c:v>225.00000000000006</c:v>
                </c:pt>
                <c:pt idx="10">
                  <c:v>250.00000000000006</c:v>
                </c:pt>
                <c:pt idx="11">
                  <c:v>275.00000000000006</c:v>
                </c:pt>
                <c:pt idx="12">
                  <c:v>300.00000000000011</c:v>
                </c:pt>
                <c:pt idx="13">
                  <c:v>325.00000000000011</c:v>
                </c:pt>
                <c:pt idx="14">
                  <c:v>350.00000000000011</c:v>
                </c:pt>
                <c:pt idx="15">
                  <c:v>375.00000000000011</c:v>
                </c:pt>
                <c:pt idx="16">
                  <c:v>400.00000000000011</c:v>
                </c:pt>
                <c:pt idx="17">
                  <c:v>425.00000000000011</c:v>
                </c:pt>
                <c:pt idx="18">
                  <c:v>450.00000000000011</c:v>
                </c:pt>
                <c:pt idx="19">
                  <c:v>475.00000000000011</c:v>
                </c:pt>
                <c:pt idx="20">
                  <c:v>500.00000000000011</c:v>
                </c:pt>
                <c:pt idx="21">
                  <c:v>525.00000000000011</c:v>
                </c:pt>
                <c:pt idx="22">
                  <c:v>550.00000000000011</c:v>
                </c:pt>
                <c:pt idx="23">
                  <c:v>575.00000000000011</c:v>
                </c:pt>
                <c:pt idx="24">
                  <c:v>600.00000000000023</c:v>
                </c:pt>
                <c:pt idx="25">
                  <c:v>625.00000000000023</c:v>
                </c:pt>
                <c:pt idx="26">
                  <c:v>650.00000000000023</c:v>
                </c:pt>
                <c:pt idx="27">
                  <c:v>675.00000000000023</c:v>
                </c:pt>
                <c:pt idx="28">
                  <c:v>700.00000000000023</c:v>
                </c:pt>
                <c:pt idx="29">
                  <c:v>725.00000000000023</c:v>
                </c:pt>
                <c:pt idx="30">
                  <c:v>750.00000000000023</c:v>
                </c:pt>
                <c:pt idx="31">
                  <c:v>775.00000000000023</c:v>
                </c:pt>
                <c:pt idx="32">
                  <c:v>800.00000000000023</c:v>
                </c:pt>
                <c:pt idx="33">
                  <c:v>825.00000000000023</c:v>
                </c:pt>
                <c:pt idx="34">
                  <c:v>850.00000000000023</c:v>
                </c:pt>
                <c:pt idx="35">
                  <c:v>875.00000000000023</c:v>
                </c:pt>
                <c:pt idx="36">
                  <c:v>900.00000000000023</c:v>
                </c:pt>
              </c:numCache>
            </c:numRef>
          </c:xVal>
          <c:yVal>
            <c:numRef>
              <c:f>'60'!$E$14:$E$50</c:f>
              <c:numCache>
                <c:formatCode>General</c:formatCode>
                <c:ptCount val="37"/>
                <c:pt idx="0">
                  <c:v>0</c:v>
                </c:pt>
                <c:pt idx="1">
                  <c:v>42.07627018922193</c:v>
                </c:pt>
                <c:pt idx="2">
                  <c:v>81.702540378443857</c:v>
                </c:pt>
                <c:pt idx="3">
                  <c:v>118.87881056766579</c:v>
                </c:pt>
                <c:pt idx="4">
                  <c:v>153.60508075688773</c:v>
                </c:pt>
                <c:pt idx="5">
                  <c:v>185.88135094610965</c:v>
                </c:pt>
                <c:pt idx="6">
                  <c:v>215.70762113533161</c:v>
                </c:pt>
                <c:pt idx="7">
                  <c:v>243.08389132455349</c:v>
                </c:pt>
                <c:pt idx="8">
                  <c:v>268.01016151377542</c:v>
                </c:pt>
                <c:pt idx="9">
                  <c:v>290.48643170299738</c:v>
                </c:pt>
                <c:pt idx="10">
                  <c:v>310.5127018922193</c:v>
                </c:pt>
                <c:pt idx="11">
                  <c:v>328.08897208144123</c:v>
                </c:pt>
                <c:pt idx="12">
                  <c:v>343.21524227066323</c:v>
                </c:pt>
                <c:pt idx="13">
                  <c:v>355.89151245988512</c:v>
                </c:pt>
                <c:pt idx="14">
                  <c:v>366.11778264910697</c:v>
                </c:pt>
                <c:pt idx="15">
                  <c:v>373.894052838329</c:v>
                </c:pt>
                <c:pt idx="16">
                  <c:v>379.22032302755088</c:v>
                </c:pt>
                <c:pt idx="17">
                  <c:v>382.09659321677276</c:v>
                </c:pt>
                <c:pt idx="18">
                  <c:v>382.52286340599477</c:v>
                </c:pt>
                <c:pt idx="19">
                  <c:v>380.49913359521668</c:v>
                </c:pt>
                <c:pt idx="20">
                  <c:v>376.02540378443859</c:v>
                </c:pt>
                <c:pt idx="21">
                  <c:v>369.10167397366058</c:v>
                </c:pt>
                <c:pt idx="22">
                  <c:v>359.72794416288241</c:v>
                </c:pt>
                <c:pt idx="23">
                  <c:v>347.90421435210442</c:v>
                </c:pt>
                <c:pt idx="24">
                  <c:v>333.63048454132638</c:v>
                </c:pt>
                <c:pt idx="25">
                  <c:v>316.90675473054819</c:v>
                </c:pt>
                <c:pt idx="26">
                  <c:v>297.73302491977017</c:v>
                </c:pt>
                <c:pt idx="27">
                  <c:v>276.109295108992</c:v>
                </c:pt>
                <c:pt idx="28">
                  <c:v>252.0355652982139</c:v>
                </c:pt>
                <c:pt idx="29">
                  <c:v>225.51183548743597</c:v>
                </c:pt>
                <c:pt idx="30">
                  <c:v>196.53810567665801</c:v>
                </c:pt>
                <c:pt idx="31">
                  <c:v>165.11437586587977</c:v>
                </c:pt>
                <c:pt idx="32">
                  <c:v>131.24064605510171</c:v>
                </c:pt>
                <c:pt idx="33">
                  <c:v>94.916916244323602</c:v>
                </c:pt>
                <c:pt idx="34">
                  <c:v>56.143186433545452</c:v>
                </c:pt>
                <c:pt idx="35">
                  <c:v>14.919456622767484</c:v>
                </c:pt>
                <c:pt idx="36">
                  <c:v>-28.754273188010529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D2-4E4B-92CE-17C649A5B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162895"/>
        <c:axId val="1145173295"/>
      </c:scatterChart>
      <c:valAx>
        <c:axId val="114516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73295"/>
        <c:crosses val="autoZero"/>
        <c:crossBetween val="midCat"/>
      </c:valAx>
      <c:valAx>
        <c:axId val="11451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62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72474</xdr:colOff>
      <xdr:row>18</xdr:row>
      <xdr:rowOff>104774</xdr:rowOff>
    </xdr:from>
    <xdr:to>
      <xdr:col>10</xdr:col>
      <xdr:colOff>419101</xdr:colOff>
      <xdr:row>32</xdr:row>
      <xdr:rowOff>135835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19</xdr:row>
      <xdr:rowOff>85725</xdr:rowOff>
    </xdr:from>
    <xdr:to>
      <xdr:col>12</xdr:col>
      <xdr:colOff>295275</xdr:colOff>
      <xdr:row>33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108857</xdr:colOff>
      <xdr:row>18</xdr:row>
      <xdr:rowOff>171450</xdr:rowOff>
    </xdr:from>
    <xdr:to>
      <xdr:col>11</xdr:col>
      <xdr:colOff>238125</xdr:colOff>
      <xdr:row>33</xdr:row>
      <xdr:rowOff>160564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topLeftCell="A2" zoomScale="85" zoomScaleNormal="85" workbookViewId="0">
      <selection activeCell="L15" sqref="L15"/>
    </sheetView>
  </sheetViews>
  <sheetFormatPr defaultRowHeight="15" x14ac:dyDescent="0.25"/>
  <cols>
    <col min="6" max="6" width="10.42578125" bestFit="1" customWidth="1"/>
    <col min="9" max="9" width="10.5703125" customWidth="1"/>
  </cols>
  <sheetData>
    <row r="1" spans="1:9" ht="19.5" thickBot="1" x14ac:dyDescent="0.35">
      <c r="A1" s="1" t="s">
        <v>1</v>
      </c>
    </row>
    <row r="2" spans="1:9" x14ac:dyDescent="0.25">
      <c r="A2" s="4" t="s">
        <v>0</v>
      </c>
      <c r="B2" s="5" t="s">
        <v>19</v>
      </c>
      <c r="C2" s="5"/>
      <c r="D2" s="5"/>
      <c r="E2" s="5"/>
      <c r="F2" s="6"/>
    </row>
    <row r="3" spans="1:9" x14ac:dyDescent="0.25">
      <c r="A3" s="7" t="s">
        <v>2</v>
      </c>
      <c r="B3" s="3" t="s">
        <v>20</v>
      </c>
      <c r="C3" s="3"/>
      <c r="D3" s="3"/>
      <c r="E3" s="3" t="s">
        <v>5</v>
      </c>
      <c r="F3" s="17">
        <v>46139</v>
      </c>
    </row>
    <row r="4" spans="1:9" x14ac:dyDescent="0.25">
      <c r="A4" s="7" t="s">
        <v>3</v>
      </c>
      <c r="B4" s="3" t="s">
        <v>21</v>
      </c>
      <c r="C4" s="3"/>
      <c r="D4" s="3"/>
      <c r="E4" s="3"/>
      <c r="F4" s="8"/>
    </row>
    <row r="5" spans="1:9" ht="15.75" thickBot="1" x14ac:dyDescent="0.3">
      <c r="A5" s="9" t="s">
        <v>4</v>
      </c>
      <c r="B5" s="10">
        <v>1</v>
      </c>
      <c r="C5" s="10"/>
      <c r="D5" s="10"/>
      <c r="E5" s="10"/>
      <c r="F5" s="11"/>
    </row>
    <row r="6" spans="1:9" ht="15.75" thickBot="1" x14ac:dyDescent="0.3"/>
    <row r="7" spans="1:9" x14ac:dyDescent="0.25">
      <c r="A7" s="4" t="s">
        <v>6</v>
      </c>
      <c r="B7" s="5">
        <v>100</v>
      </c>
      <c r="C7" s="6" t="s">
        <v>10</v>
      </c>
    </row>
    <row r="8" spans="1:9" x14ac:dyDescent="0.25">
      <c r="A8" s="7" t="s">
        <v>7</v>
      </c>
      <c r="B8" s="3">
        <v>30</v>
      </c>
      <c r="C8" s="8" t="s">
        <v>11</v>
      </c>
    </row>
    <row r="9" spans="1:9" x14ac:dyDescent="0.25">
      <c r="A9" s="7" t="s">
        <v>8</v>
      </c>
      <c r="B9" s="3">
        <v>9.8000000000000007</v>
      </c>
      <c r="C9" s="8" t="s">
        <v>12</v>
      </c>
    </row>
    <row r="10" spans="1:9" ht="15.75" thickBot="1" x14ac:dyDescent="0.3">
      <c r="A10" s="9" t="s">
        <v>9</v>
      </c>
      <c r="B10" s="10">
        <v>0.5</v>
      </c>
      <c r="C10" s="11" t="s">
        <v>13</v>
      </c>
    </row>
    <row r="12" spans="1:9" ht="15.75" thickBot="1" x14ac:dyDescent="0.3"/>
    <row r="13" spans="1:9" ht="15.75" thickBot="1" x14ac:dyDescent="0.3">
      <c r="A13" s="12" t="s">
        <v>14</v>
      </c>
      <c r="B13" s="13" t="s">
        <v>15</v>
      </c>
      <c r="C13" s="13" t="s">
        <v>16</v>
      </c>
      <c r="D13" s="13" t="s">
        <v>17</v>
      </c>
      <c r="E13" s="14" t="s">
        <v>18</v>
      </c>
    </row>
    <row r="14" spans="1:9" x14ac:dyDescent="0.25">
      <c r="A14" s="3">
        <v>0</v>
      </c>
      <c r="B14" s="3">
        <v>0</v>
      </c>
      <c r="C14" s="3">
        <v>0</v>
      </c>
      <c r="D14" s="3">
        <v>0</v>
      </c>
      <c r="E14" s="3">
        <v>0</v>
      </c>
    </row>
    <row r="15" spans="1:9" x14ac:dyDescent="0.25">
      <c r="A15" s="3">
        <f>A14+B$10</f>
        <v>0.5</v>
      </c>
      <c r="B15" s="3">
        <f>B$7*COS(RADIANS(B$8))</f>
        <v>86.602540378443877</v>
      </c>
      <c r="C15" s="3">
        <f>B$7*SIN(RADIANS(B$8))</f>
        <v>49.999999999999993</v>
      </c>
      <c r="D15" s="3">
        <f>B$15*A15</f>
        <v>43.301270189221938</v>
      </c>
      <c r="E15" s="3">
        <f>C$15*A15-0.5*B$9*A15*A15</f>
        <v>23.774999999999995</v>
      </c>
      <c r="G15" s="16" t="s">
        <v>22</v>
      </c>
      <c r="H15" s="16" t="s">
        <v>23</v>
      </c>
      <c r="I15" s="16" t="s">
        <v>24</v>
      </c>
    </row>
    <row r="16" spans="1:9" x14ac:dyDescent="0.25">
      <c r="A16" s="3">
        <f t="shared" ref="A16:A35" si="0">A15+B$10</f>
        <v>1</v>
      </c>
      <c r="B16" s="3">
        <f t="shared" ref="B16:B35" si="1">B$7*COS(RADIANS(B$8))</f>
        <v>86.602540378443877</v>
      </c>
      <c r="C16" s="3">
        <f t="shared" ref="C16:C35" si="2">B$7*SIN(RADIANS(B$8))</f>
        <v>49.999999999999993</v>
      </c>
      <c r="D16" s="3">
        <f t="shared" ref="D16:D35" si="3">B$15*A16</f>
        <v>86.602540378443877</v>
      </c>
      <c r="E16" s="3">
        <f t="shared" ref="E16:E35" si="4">C$15*A16-0.5*B$9*A16*A16</f>
        <v>45.099999999999994</v>
      </c>
      <c r="G16" s="3" t="s">
        <v>25</v>
      </c>
      <c r="H16" s="3">
        <v>866.7</v>
      </c>
      <c r="I16" s="3">
        <f>B7*B7*SIN(RADIANS(2*B8))/B9</f>
        <v>883.69939161677405</v>
      </c>
    </row>
    <row r="17" spans="1:9" x14ac:dyDescent="0.25">
      <c r="A17" s="3">
        <f t="shared" si="0"/>
        <v>1.5</v>
      </c>
      <c r="B17" s="3">
        <f t="shared" si="1"/>
        <v>86.602540378443877</v>
      </c>
      <c r="C17" s="3">
        <f t="shared" si="2"/>
        <v>49.999999999999993</v>
      </c>
      <c r="D17" s="3">
        <f t="shared" si="3"/>
        <v>129.9038105676658</v>
      </c>
      <c r="E17" s="3">
        <f t="shared" si="4"/>
        <v>63.974999999999987</v>
      </c>
      <c r="G17" s="3" t="s">
        <v>26</v>
      </c>
      <c r="H17" s="3">
        <v>127.5</v>
      </c>
      <c r="I17" s="3">
        <f>B$7*B$7*SIN(RADIANS(B8))*SIN(RADIANS(B$8))/(2*B$9)</f>
        <v>127.55102040816321</v>
      </c>
    </row>
    <row r="18" spans="1:9" x14ac:dyDescent="0.25">
      <c r="A18" s="3">
        <f t="shared" si="0"/>
        <v>2</v>
      </c>
      <c r="B18" s="3">
        <f t="shared" si="1"/>
        <v>86.602540378443877</v>
      </c>
      <c r="C18" s="3">
        <f t="shared" si="2"/>
        <v>49.999999999999993</v>
      </c>
      <c r="D18" s="3">
        <f t="shared" si="3"/>
        <v>173.20508075688775</v>
      </c>
      <c r="E18" s="3">
        <f t="shared" si="4"/>
        <v>80.399999999999977</v>
      </c>
    </row>
    <row r="19" spans="1:9" x14ac:dyDescent="0.25">
      <c r="A19" s="3">
        <f t="shared" si="0"/>
        <v>2.5</v>
      </c>
      <c r="B19" s="3">
        <f t="shared" si="1"/>
        <v>86.602540378443877</v>
      </c>
      <c r="C19" s="3">
        <f t="shared" si="2"/>
        <v>49.999999999999993</v>
      </c>
      <c r="D19" s="3">
        <f t="shared" si="3"/>
        <v>216.50635094610971</v>
      </c>
      <c r="E19" s="3">
        <f t="shared" si="4"/>
        <v>94.374999999999986</v>
      </c>
    </row>
    <row r="20" spans="1:9" x14ac:dyDescent="0.25">
      <c r="A20" s="3">
        <f t="shared" si="0"/>
        <v>3</v>
      </c>
      <c r="B20" s="3">
        <f t="shared" si="1"/>
        <v>86.602540378443877</v>
      </c>
      <c r="C20" s="3">
        <f t="shared" si="2"/>
        <v>49.999999999999993</v>
      </c>
      <c r="D20" s="3">
        <f t="shared" si="3"/>
        <v>259.8076211353316</v>
      </c>
      <c r="E20" s="3">
        <f t="shared" si="4"/>
        <v>105.89999999999998</v>
      </c>
    </row>
    <row r="21" spans="1:9" x14ac:dyDescent="0.25">
      <c r="A21" s="3">
        <f t="shared" si="0"/>
        <v>3.5</v>
      </c>
      <c r="B21" s="3">
        <f t="shared" si="1"/>
        <v>86.602540378443877</v>
      </c>
      <c r="C21" s="3">
        <f t="shared" si="2"/>
        <v>49.999999999999993</v>
      </c>
      <c r="D21" s="3">
        <f t="shared" si="3"/>
        <v>303.10889132455355</v>
      </c>
      <c r="E21" s="3">
        <f t="shared" si="4"/>
        <v>114.97499999999997</v>
      </c>
    </row>
    <row r="22" spans="1:9" x14ac:dyDescent="0.25">
      <c r="A22" s="3">
        <f t="shared" si="0"/>
        <v>4</v>
      </c>
      <c r="B22" s="3">
        <f t="shared" si="1"/>
        <v>86.602540378443877</v>
      </c>
      <c r="C22" s="3">
        <f t="shared" si="2"/>
        <v>49.999999999999993</v>
      </c>
      <c r="D22" s="3">
        <f t="shared" si="3"/>
        <v>346.41016151377551</v>
      </c>
      <c r="E22" s="3">
        <f t="shared" si="4"/>
        <v>121.59999999999997</v>
      </c>
    </row>
    <row r="23" spans="1:9" x14ac:dyDescent="0.25">
      <c r="A23" s="3">
        <f>A22+B$10</f>
        <v>4.5</v>
      </c>
      <c r="B23" s="3">
        <f t="shared" si="1"/>
        <v>86.602540378443877</v>
      </c>
      <c r="C23" s="3">
        <f t="shared" si="2"/>
        <v>49.999999999999993</v>
      </c>
      <c r="D23" s="3">
        <f t="shared" si="3"/>
        <v>389.71143170299746</v>
      </c>
      <c r="E23" s="3">
        <f t="shared" si="4"/>
        <v>125.77499999999996</v>
      </c>
    </row>
    <row r="24" spans="1:9" x14ac:dyDescent="0.25">
      <c r="A24" s="3">
        <f t="shared" si="0"/>
        <v>5</v>
      </c>
      <c r="B24" s="3">
        <f t="shared" si="1"/>
        <v>86.602540378443877</v>
      </c>
      <c r="C24" s="3">
        <f t="shared" si="2"/>
        <v>49.999999999999993</v>
      </c>
      <c r="D24" s="3">
        <f t="shared" si="3"/>
        <v>433.01270189221941</v>
      </c>
      <c r="E24" s="3">
        <f t="shared" si="4"/>
        <v>127.49999999999997</v>
      </c>
    </row>
    <row r="25" spans="1:9" x14ac:dyDescent="0.25">
      <c r="A25" s="3">
        <f t="shared" si="0"/>
        <v>5.5</v>
      </c>
      <c r="B25" s="3">
        <f t="shared" si="1"/>
        <v>86.602540378443877</v>
      </c>
      <c r="C25" s="3">
        <f t="shared" si="2"/>
        <v>49.999999999999993</v>
      </c>
      <c r="D25" s="3">
        <f t="shared" si="3"/>
        <v>476.31397208144131</v>
      </c>
      <c r="E25" s="3">
        <f t="shared" si="4"/>
        <v>126.77499999999992</v>
      </c>
    </row>
    <row r="26" spans="1:9" x14ac:dyDescent="0.25">
      <c r="A26" s="3">
        <f t="shared" si="0"/>
        <v>6</v>
      </c>
      <c r="B26" s="3">
        <f t="shared" si="1"/>
        <v>86.602540378443877</v>
      </c>
      <c r="C26" s="3">
        <f t="shared" si="2"/>
        <v>49.999999999999993</v>
      </c>
      <c r="D26" s="3">
        <f t="shared" si="3"/>
        <v>519.6152422706632</v>
      </c>
      <c r="E26" s="3">
        <f t="shared" si="4"/>
        <v>123.59999999999994</v>
      </c>
    </row>
    <row r="27" spans="1:9" x14ac:dyDescent="0.25">
      <c r="A27" s="3">
        <f t="shared" si="0"/>
        <v>6.5</v>
      </c>
      <c r="B27" s="3">
        <f t="shared" si="1"/>
        <v>86.602540378443877</v>
      </c>
      <c r="C27" s="3">
        <f t="shared" si="2"/>
        <v>49.999999999999993</v>
      </c>
      <c r="D27" s="3">
        <f t="shared" si="3"/>
        <v>562.91651245988521</v>
      </c>
      <c r="E27" s="3">
        <f t="shared" si="4"/>
        <v>117.97499999999994</v>
      </c>
    </row>
    <row r="28" spans="1:9" x14ac:dyDescent="0.25">
      <c r="A28" s="3">
        <f t="shared" si="0"/>
        <v>7</v>
      </c>
      <c r="B28" s="3">
        <f t="shared" si="1"/>
        <v>86.602540378443877</v>
      </c>
      <c r="C28" s="3">
        <f t="shared" si="2"/>
        <v>49.999999999999993</v>
      </c>
      <c r="D28" s="3">
        <f t="shared" si="3"/>
        <v>606.21778264910711</v>
      </c>
      <c r="E28" s="3">
        <f t="shared" si="4"/>
        <v>109.89999999999992</v>
      </c>
    </row>
    <row r="29" spans="1:9" x14ac:dyDescent="0.25">
      <c r="A29" s="3">
        <f t="shared" si="0"/>
        <v>7.5</v>
      </c>
      <c r="B29" s="3">
        <f t="shared" si="1"/>
        <v>86.602540378443877</v>
      </c>
      <c r="C29" s="3">
        <f t="shared" si="2"/>
        <v>49.999999999999993</v>
      </c>
      <c r="D29" s="3">
        <f t="shared" si="3"/>
        <v>649.51905283832912</v>
      </c>
      <c r="E29" s="3">
        <f t="shared" si="4"/>
        <v>99.374999999999943</v>
      </c>
    </row>
    <row r="30" spans="1:9" x14ac:dyDescent="0.25">
      <c r="A30" s="3">
        <f t="shared" si="0"/>
        <v>8</v>
      </c>
      <c r="B30" s="3">
        <f t="shared" si="1"/>
        <v>86.602540378443877</v>
      </c>
      <c r="C30" s="3">
        <f t="shared" si="2"/>
        <v>49.999999999999993</v>
      </c>
      <c r="D30" s="3">
        <f t="shared" si="3"/>
        <v>692.82032302755101</v>
      </c>
      <c r="E30" s="3">
        <f t="shared" si="4"/>
        <v>86.39999999999992</v>
      </c>
    </row>
    <row r="31" spans="1:9" x14ac:dyDescent="0.25">
      <c r="A31" s="3">
        <f t="shared" si="0"/>
        <v>8.5</v>
      </c>
      <c r="B31" s="3">
        <f t="shared" si="1"/>
        <v>86.602540378443877</v>
      </c>
      <c r="C31" s="3">
        <f t="shared" si="2"/>
        <v>49.999999999999993</v>
      </c>
      <c r="D31" s="3">
        <f t="shared" si="3"/>
        <v>736.12159321677291</v>
      </c>
      <c r="E31" s="3">
        <f t="shared" si="4"/>
        <v>70.974999999999909</v>
      </c>
    </row>
    <row r="32" spans="1:9" x14ac:dyDescent="0.25">
      <c r="A32" s="3">
        <f t="shared" si="0"/>
        <v>9</v>
      </c>
      <c r="B32" s="3">
        <f t="shared" si="1"/>
        <v>86.602540378443877</v>
      </c>
      <c r="C32" s="3">
        <f t="shared" si="2"/>
        <v>49.999999999999993</v>
      </c>
      <c r="D32" s="3">
        <f t="shared" si="3"/>
        <v>779.42286340599492</v>
      </c>
      <c r="E32" s="3">
        <f t="shared" si="4"/>
        <v>53.099999999999909</v>
      </c>
    </row>
    <row r="33" spans="1:5" x14ac:dyDescent="0.25">
      <c r="A33" s="3">
        <f t="shared" si="0"/>
        <v>9.5</v>
      </c>
      <c r="B33" s="3">
        <f t="shared" si="1"/>
        <v>86.602540378443877</v>
      </c>
      <c r="C33" s="3">
        <f t="shared" si="2"/>
        <v>49.999999999999993</v>
      </c>
      <c r="D33" s="3">
        <f t="shared" si="3"/>
        <v>822.72413359521681</v>
      </c>
      <c r="E33" s="3">
        <f t="shared" si="4"/>
        <v>32.77499999999992</v>
      </c>
    </row>
    <row r="34" spans="1:5" x14ac:dyDescent="0.25">
      <c r="A34" s="15">
        <f t="shared" si="0"/>
        <v>10</v>
      </c>
      <c r="B34" s="15">
        <f t="shared" si="1"/>
        <v>86.602540378443877</v>
      </c>
      <c r="C34" s="3">
        <f t="shared" si="2"/>
        <v>49.999999999999993</v>
      </c>
      <c r="D34" s="3">
        <f t="shared" si="3"/>
        <v>866.02540378443882</v>
      </c>
      <c r="E34" s="3">
        <f t="shared" si="4"/>
        <v>9.9999999999999432</v>
      </c>
    </row>
    <row r="35" spans="1:5" x14ac:dyDescent="0.25">
      <c r="A35" s="15">
        <f t="shared" si="0"/>
        <v>10.5</v>
      </c>
      <c r="B35" s="15">
        <f t="shared" si="1"/>
        <v>86.602540378443877</v>
      </c>
      <c r="C35" s="3">
        <f t="shared" si="2"/>
        <v>49.999999999999993</v>
      </c>
      <c r="D35" s="3">
        <f t="shared" si="3"/>
        <v>909.32667397366072</v>
      </c>
      <c r="E35" s="3">
        <f t="shared" si="4"/>
        <v>-15.225000000000136</v>
      </c>
    </row>
    <row r="36" spans="1:5" x14ac:dyDescent="0.25">
      <c r="A36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10" workbookViewId="0">
      <selection activeCell="K2" sqref="K2"/>
    </sheetView>
  </sheetViews>
  <sheetFormatPr defaultRowHeight="15" x14ac:dyDescent="0.25"/>
  <cols>
    <col min="6" max="6" width="10.42578125" bestFit="1" customWidth="1"/>
    <col min="9" max="9" width="10.5703125" customWidth="1"/>
  </cols>
  <sheetData>
    <row r="1" spans="1:9" ht="19.5" thickBot="1" x14ac:dyDescent="0.35">
      <c r="A1" s="1" t="s">
        <v>1</v>
      </c>
    </row>
    <row r="2" spans="1:9" x14ac:dyDescent="0.25">
      <c r="A2" s="4" t="s">
        <v>0</v>
      </c>
      <c r="B2" s="5" t="s">
        <v>19</v>
      </c>
      <c r="C2" s="5"/>
      <c r="D2" s="5"/>
      <c r="E2" s="5"/>
      <c r="F2" s="6"/>
    </row>
    <row r="3" spans="1:9" x14ac:dyDescent="0.25">
      <c r="A3" s="7" t="s">
        <v>2</v>
      </c>
      <c r="B3" s="3" t="s">
        <v>20</v>
      </c>
      <c r="C3" s="3"/>
      <c r="D3" s="3"/>
      <c r="E3" s="3" t="s">
        <v>5</v>
      </c>
      <c r="F3" s="17">
        <v>46139</v>
      </c>
    </row>
    <row r="4" spans="1:9" x14ac:dyDescent="0.25">
      <c r="A4" s="7" t="s">
        <v>3</v>
      </c>
      <c r="B4" s="3" t="s">
        <v>21</v>
      </c>
      <c r="C4" s="3"/>
      <c r="D4" s="3"/>
      <c r="E4" s="3"/>
      <c r="F4" s="8"/>
    </row>
    <row r="5" spans="1:9" ht="15.75" thickBot="1" x14ac:dyDescent="0.3">
      <c r="A5" s="9" t="s">
        <v>4</v>
      </c>
      <c r="B5" s="10">
        <v>1</v>
      </c>
      <c r="C5" s="10"/>
      <c r="D5" s="10"/>
      <c r="E5" s="10"/>
      <c r="F5" s="11"/>
    </row>
    <row r="6" spans="1:9" ht="15.75" thickBot="1" x14ac:dyDescent="0.3"/>
    <row r="7" spans="1:9" x14ac:dyDescent="0.25">
      <c r="A7" s="4" t="s">
        <v>6</v>
      </c>
      <c r="B7" s="5">
        <v>100</v>
      </c>
      <c r="C7" s="6" t="s">
        <v>10</v>
      </c>
    </row>
    <row r="8" spans="1:9" x14ac:dyDescent="0.25">
      <c r="A8" s="7" t="s">
        <v>7</v>
      </c>
      <c r="B8" s="3">
        <v>45</v>
      </c>
      <c r="C8" s="8" t="s">
        <v>11</v>
      </c>
    </row>
    <row r="9" spans="1:9" x14ac:dyDescent="0.25">
      <c r="A9" s="7" t="s">
        <v>8</v>
      </c>
      <c r="B9" s="3">
        <v>9.8000000000000007</v>
      </c>
      <c r="C9" s="8" t="s">
        <v>12</v>
      </c>
    </row>
    <row r="10" spans="1:9" ht="15.75" thickBot="1" x14ac:dyDescent="0.3">
      <c r="A10" s="9" t="s">
        <v>9</v>
      </c>
      <c r="B10" s="10">
        <v>0.5</v>
      </c>
      <c r="C10" s="11" t="s">
        <v>13</v>
      </c>
    </row>
    <row r="12" spans="1:9" ht="15.75" thickBot="1" x14ac:dyDescent="0.3"/>
    <row r="13" spans="1:9" ht="15.75" thickBot="1" x14ac:dyDescent="0.3">
      <c r="A13" s="12" t="s">
        <v>14</v>
      </c>
      <c r="B13" s="13" t="s">
        <v>15</v>
      </c>
      <c r="C13" s="13" t="s">
        <v>16</v>
      </c>
      <c r="D13" s="13" t="s">
        <v>17</v>
      </c>
      <c r="E13" s="14" t="s">
        <v>18</v>
      </c>
    </row>
    <row r="14" spans="1:9" x14ac:dyDescent="0.25">
      <c r="A14" s="3">
        <v>0</v>
      </c>
      <c r="B14" s="3">
        <v>0</v>
      </c>
      <c r="C14" s="3">
        <v>0</v>
      </c>
      <c r="D14" s="3">
        <v>0</v>
      </c>
      <c r="E14" s="3">
        <v>0</v>
      </c>
    </row>
    <row r="15" spans="1:9" x14ac:dyDescent="0.25">
      <c r="A15" s="3">
        <f>A14+B$10</f>
        <v>0.5</v>
      </c>
      <c r="B15" s="3">
        <f>B$7*COS(RADIANS(B$8))</f>
        <v>70.710678118654755</v>
      </c>
      <c r="C15" s="3">
        <f>B$7*SIN(RADIANS(B$8))</f>
        <v>70.710678118654741</v>
      </c>
      <c r="D15" s="3">
        <f>B$15*A15</f>
        <v>35.355339059327378</v>
      </c>
      <c r="E15" s="3">
        <f>C$15*A15-0.5*B$9*A15*A15</f>
        <v>34.130339059327369</v>
      </c>
      <c r="G15" s="16" t="s">
        <v>22</v>
      </c>
      <c r="H15" s="16" t="s">
        <v>23</v>
      </c>
      <c r="I15" s="16" t="s">
        <v>24</v>
      </c>
    </row>
    <row r="16" spans="1:9" x14ac:dyDescent="0.25">
      <c r="A16" s="3">
        <f t="shared" ref="A16:A35" si="0">A15+B$10</f>
        <v>1</v>
      </c>
      <c r="B16" s="3">
        <f t="shared" ref="B16:B45" si="1">B$7*COS(RADIANS(B$8))</f>
        <v>70.710678118654755</v>
      </c>
      <c r="C16" s="3">
        <f t="shared" ref="C16:C35" si="2">B$7*SIN(RADIANS(B$8))</f>
        <v>70.710678118654741</v>
      </c>
      <c r="D16" s="3">
        <f t="shared" ref="D16:D35" si="3">B$15*A16</f>
        <v>70.710678118654755</v>
      </c>
      <c r="E16" s="3">
        <f t="shared" ref="E16:E35" si="4">C$15*A16-0.5*B$9*A16*A16</f>
        <v>65.810678118654735</v>
      </c>
      <c r="G16" s="3" t="s">
        <v>25</v>
      </c>
      <c r="H16" s="3">
        <v>989.94</v>
      </c>
      <c r="I16" s="3">
        <f>B7*B7*SIN(RADIANS(2*B8))/B9</f>
        <v>1020.408163265306</v>
      </c>
    </row>
    <row r="17" spans="1:9" x14ac:dyDescent="0.25">
      <c r="A17" s="3">
        <f t="shared" si="0"/>
        <v>1.5</v>
      </c>
      <c r="B17" s="3">
        <f t="shared" si="1"/>
        <v>70.710678118654755</v>
      </c>
      <c r="C17" s="3">
        <f t="shared" si="2"/>
        <v>70.710678118654741</v>
      </c>
      <c r="D17" s="3">
        <f t="shared" si="3"/>
        <v>106.06601717798213</v>
      </c>
      <c r="E17" s="3">
        <f t="shared" si="4"/>
        <v>95.041017177982098</v>
      </c>
      <c r="G17" s="3" t="s">
        <v>26</v>
      </c>
      <c r="H17" s="3">
        <v>254.87</v>
      </c>
      <c r="I17" s="3">
        <f>B$7*B$7*SIN(RADIANS(B8))*SIN(RADIANS(B$8))/(2*B$9)</f>
        <v>255.10204081632648</v>
      </c>
    </row>
    <row r="18" spans="1:9" x14ac:dyDescent="0.25">
      <c r="A18" s="3">
        <f t="shared" si="0"/>
        <v>2</v>
      </c>
      <c r="B18" s="3">
        <f t="shared" si="1"/>
        <v>70.710678118654755</v>
      </c>
      <c r="C18" s="3">
        <f t="shared" si="2"/>
        <v>70.710678118654741</v>
      </c>
      <c r="D18" s="3">
        <f t="shared" si="3"/>
        <v>141.42135623730951</v>
      </c>
      <c r="E18" s="3">
        <f t="shared" si="4"/>
        <v>121.82135623730949</v>
      </c>
    </row>
    <row r="19" spans="1:9" x14ac:dyDescent="0.25">
      <c r="A19" s="3">
        <f t="shared" si="0"/>
        <v>2.5</v>
      </c>
      <c r="B19" s="3">
        <f t="shared" si="1"/>
        <v>70.710678118654755</v>
      </c>
      <c r="C19" s="3">
        <f t="shared" si="2"/>
        <v>70.710678118654741</v>
      </c>
      <c r="D19" s="3">
        <f t="shared" si="3"/>
        <v>176.77669529663689</v>
      </c>
      <c r="E19" s="3">
        <f t="shared" si="4"/>
        <v>146.15169529663686</v>
      </c>
    </row>
    <row r="20" spans="1:9" x14ac:dyDescent="0.25">
      <c r="A20" s="3">
        <f t="shared" si="0"/>
        <v>3</v>
      </c>
      <c r="B20" s="3">
        <f t="shared" si="1"/>
        <v>70.710678118654755</v>
      </c>
      <c r="C20" s="3">
        <f t="shared" si="2"/>
        <v>70.710678118654741</v>
      </c>
      <c r="D20" s="3">
        <f t="shared" si="3"/>
        <v>212.13203435596427</v>
      </c>
      <c r="E20" s="3">
        <f t="shared" si="4"/>
        <v>168.03203435596421</v>
      </c>
    </row>
    <row r="21" spans="1:9" x14ac:dyDescent="0.25">
      <c r="A21" s="3">
        <f t="shared" si="0"/>
        <v>3.5</v>
      </c>
      <c r="B21" s="3">
        <f t="shared" si="1"/>
        <v>70.710678118654755</v>
      </c>
      <c r="C21" s="3">
        <f t="shared" si="2"/>
        <v>70.710678118654741</v>
      </c>
      <c r="D21" s="3">
        <f t="shared" si="3"/>
        <v>247.48737341529164</v>
      </c>
      <c r="E21" s="3">
        <f t="shared" si="4"/>
        <v>187.46237341529158</v>
      </c>
    </row>
    <row r="22" spans="1:9" x14ac:dyDescent="0.25">
      <c r="A22" s="3">
        <f t="shared" si="0"/>
        <v>4</v>
      </c>
      <c r="B22" s="3">
        <f t="shared" si="1"/>
        <v>70.710678118654755</v>
      </c>
      <c r="C22" s="3">
        <f t="shared" si="2"/>
        <v>70.710678118654741</v>
      </c>
      <c r="D22" s="3">
        <f t="shared" si="3"/>
        <v>282.84271247461902</v>
      </c>
      <c r="E22" s="3">
        <f t="shared" si="4"/>
        <v>204.44271247461896</v>
      </c>
    </row>
    <row r="23" spans="1:9" x14ac:dyDescent="0.25">
      <c r="A23" s="3">
        <f>A22+B$10</f>
        <v>4.5</v>
      </c>
      <c r="B23" s="3">
        <f t="shared" si="1"/>
        <v>70.710678118654755</v>
      </c>
      <c r="C23" s="3">
        <f t="shared" si="2"/>
        <v>70.710678118654741</v>
      </c>
      <c r="D23" s="3">
        <f t="shared" si="3"/>
        <v>318.1980515339464</v>
      </c>
      <c r="E23" s="3">
        <f t="shared" si="4"/>
        <v>218.97305153394632</v>
      </c>
    </row>
    <row r="24" spans="1:9" x14ac:dyDescent="0.25">
      <c r="A24" s="3">
        <f t="shared" si="0"/>
        <v>5</v>
      </c>
      <c r="B24" s="3">
        <f t="shared" si="1"/>
        <v>70.710678118654755</v>
      </c>
      <c r="C24" s="3">
        <f t="shared" si="2"/>
        <v>70.710678118654741</v>
      </c>
      <c r="D24" s="3">
        <f t="shared" si="3"/>
        <v>353.55339059327378</v>
      </c>
      <c r="E24" s="3">
        <f t="shared" si="4"/>
        <v>231.05339059327372</v>
      </c>
    </row>
    <row r="25" spans="1:9" x14ac:dyDescent="0.25">
      <c r="A25" s="3">
        <f t="shared" si="0"/>
        <v>5.5</v>
      </c>
      <c r="B25" s="3">
        <f t="shared" si="1"/>
        <v>70.710678118654755</v>
      </c>
      <c r="C25" s="3">
        <f t="shared" si="2"/>
        <v>70.710678118654741</v>
      </c>
      <c r="D25" s="3">
        <f t="shared" si="3"/>
        <v>388.90872965260115</v>
      </c>
      <c r="E25" s="3">
        <f t="shared" si="4"/>
        <v>240.68372965260107</v>
      </c>
    </row>
    <row r="26" spans="1:9" x14ac:dyDescent="0.25">
      <c r="A26" s="3">
        <f t="shared" si="0"/>
        <v>6</v>
      </c>
      <c r="B26" s="3">
        <f t="shared" si="1"/>
        <v>70.710678118654755</v>
      </c>
      <c r="C26" s="3">
        <f t="shared" si="2"/>
        <v>70.710678118654741</v>
      </c>
      <c r="D26" s="3">
        <f t="shared" si="3"/>
        <v>424.26406871192853</v>
      </c>
      <c r="E26" s="3">
        <f t="shared" si="4"/>
        <v>247.86406871192841</v>
      </c>
    </row>
    <row r="27" spans="1:9" x14ac:dyDescent="0.25">
      <c r="A27" s="3">
        <f t="shared" si="0"/>
        <v>6.5</v>
      </c>
      <c r="B27" s="3">
        <f t="shared" si="1"/>
        <v>70.710678118654755</v>
      </c>
      <c r="C27" s="3">
        <f t="shared" si="2"/>
        <v>70.710678118654741</v>
      </c>
      <c r="D27" s="3">
        <f t="shared" si="3"/>
        <v>459.61940777125591</v>
      </c>
      <c r="E27" s="3">
        <f t="shared" si="4"/>
        <v>252.59440777125579</v>
      </c>
    </row>
    <row r="28" spans="1:9" x14ac:dyDescent="0.25">
      <c r="A28" s="3">
        <f t="shared" si="0"/>
        <v>7</v>
      </c>
      <c r="B28" s="3">
        <f t="shared" si="1"/>
        <v>70.710678118654755</v>
      </c>
      <c r="C28" s="3">
        <f t="shared" si="2"/>
        <v>70.710678118654741</v>
      </c>
      <c r="D28" s="3">
        <f t="shared" si="3"/>
        <v>494.97474683058329</v>
      </c>
      <c r="E28" s="3">
        <f t="shared" si="4"/>
        <v>254.87474683058315</v>
      </c>
    </row>
    <row r="29" spans="1:9" x14ac:dyDescent="0.25">
      <c r="A29" s="3">
        <f t="shared" si="0"/>
        <v>7.5</v>
      </c>
      <c r="B29" s="3">
        <f t="shared" si="1"/>
        <v>70.710678118654755</v>
      </c>
      <c r="C29" s="3">
        <f t="shared" si="2"/>
        <v>70.710678118654741</v>
      </c>
      <c r="D29" s="3">
        <f t="shared" si="3"/>
        <v>530.33008588991061</v>
      </c>
      <c r="E29" s="3">
        <f t="shared" si="4"/>
        <v>254.70508588991061</v>
      </c>
    </row>
    <row r="30" spans="1:9" x14ac:dyDescent="0.25">
      <c r="A30" s="3">
        <f t="shared" si="0"/>
        <v>8</v>
      </c>
      <c r="B30" s="3">
        <f t="shared" si="1"/>
        <v>70.710678118654755</v>
      </c>
      <c r="C30" s="3">
        <f t="shared" si="2"/>
        <v>70.710678118654741</v>
      </c>
      <c r="D30" s="3">
        <f t="shared" si="3"/>
        <v>565.68542494923804</v>
      </c>
      <c r="E30" s="3">
        <f t="shared" si="4"/>
        <v>252.0854249492379</v>
      </c>
    </row>
    <row r="31" spans="1:9" x14ac:dyDescent="0.25">
      <c r="A31" s="3">
        <f t="shared" si="0"/>
        <v>8.5</v>
      </c>
      <c r="B31" s="3">
        <f t="shared" si="1"/>
        <v>70.710678118654755</v>
      </c>
      <c r="C31" s="3">
        <f t="shared" si="2"/>
        <v>70.710678118654741</v>
      </c>
      <c r="D31" s="3">
        <f t="shared" si="3"/>
        <v>601.04076400856547</v>
      </c>
      <c r="E31" s="3">
        <f t="shared" si="4"/>
        <v>247.01576400856521</v>
      </c>
    </row>
    <row r="32" spans="1:9" x14ac:dyDescent="0.25">
      <c r="A32" s="3">
        <f t="shared" si="0"/>
        <v>9</v>
      </c>
      <c r="B32" s="3">
        <f t="shared" si="1"/>
        <v>70.710678118654755</v>
      </c>
      <c r="C32" s="3">
        <f t="shared" si="2"/>
        <v>70.710678118654741</v>
      </c>
      <c r="D32" s="3">
        <f t="shared" si="3"/>
        <v>636.3961030678928</v>
      </c>
      <c r="E32" s="3">
        <f t="shared" si="4"/>
        <v>239.49610306789265</v>
      </c>
    </row>
    <row r="33" spans="1:5" x14ac:dyDescent="0.25">
      <c r="A33" s="3">
        <f t="shared" si="0"/>
        <v>9.5</v>
      </c>
      <c r="B33" s="3">
        <f t="shared" si="1"/>
        <v>70.710678118654755</v>
      </c>
      <c r="C33" s="3">
        <f t="shared" si="2"/>
        <v>70.710678118654741</v>
      </c>
      <c r="D33" s="3">
        <f t="shared" si="3"/>
        <v>671.75144212722012</v>
      </c>
      <c r="E33" s="3">
        <f t="shared" si="4"/>
        <v>229.52644212721998</v>
      </c>
    </row>
    <row r="34" spans="1:5" x14ac:dyDescent="0.25">
      <c r="A34" s="15">
        <f t="shared" si="0"/>
        <v>10</v>
      </c>
      <c r="B34" s="15">
        <f t="shared" si="1"/>
        <v>70.710678118654755</v>
      </c>
      <c r="C34" s="3">
        <f t="shared" si="2"/>
        <v>70.710678118654741</v>
      </c>
      <c r="D34" s="3">
        <f t="shared" si="3"/>
        <v>707.10678118654755</v>
      </c>
      <c r="E34" s="3">
        <f t="shared" si="4"/>
        <v>217.10678118654744</v>
      </c>
    </row>
    <row r="35" spans="1:5" x14ac:dyDescent="0.25">
      <c r="A35" s="15">
        <f t="shared" si="0"/>
        <v>10.5</v>
      </c>
      <c r="B35" s="15">
        <f t="shared" si="1"/>
        <v>70.710678118654755</v>
      </c>
      <c r="C35" s="3">
        <f t="shared" si="2"/>
        <v>70.710678118654741</v>
      </c>
      <c r="D35" s="3">
        <f t="shared" si="3"/>
        <v>742.46212024587498</v>
      </c>
      <c r="E35" s="3">
        <f t="shared" si="4"/>
        <v>202.23712024587473</v>
      </c>
    </row>
    <row r="36" spans="1:5" x14ac:dyDescent="0.25">
      <c r="A36" s="15">
        <f t="shared" ref="A36:A43" si="5">A35+B$10</f>
        <v>11</v>
      </c>
      <c r="B36" s="15">
        <f t="shared" si="1"/>
        <v>70.710678118654755</v>
      </c>
      <c r="C36" s="3">
        <f t="shared" ref="C36:C43" si="6">B$7*SIN(RADIANS(B$8))</f>
        <v>70.710678118654741</v>
      </c>
      <c r="D36" s="3">
        <f t="shared" ref="D36:D43" si="7">B$15*A36</f>
        <v>777.81745930520231</v>
      </c>
      <c r="E36" s="3">
        <f t="shared" ref="E36:E43" si="8">C$15*A36-0.5*B$9*A36*A36</f>
        <v>184.9174593052021</v>
      </c>
    </row>
    <row r="37" spans="1:5" x14ac:dyDescent="0.25">
      <c r="A37" s="15">
        <f t="shared" si="5"/>
        <v>11.5</v>
      </c>
      <c r="B37" s="15">
        <f t="shared" si="1"/>
        <v>70.710678118654755</v>
      </c>
      <c r="C37" s="3">
        <f t="shared" si="6"/>
        <v>70.710678118654741</v>
      </c>
      <c r="D37" s="3">
        <f t="shared" si="7"/>
        <v>813.17279836452963</v>
      </c>
      <c r="E37" s="3">
        <f t="shared" si="8"/>
        <v>165.14779836452954</v>
      </c>
    </row>
    <row r="38" spans="1:5" x14ac:dyDescent="0.25">
      <c r="A38" s="15">
        <f t="shared" si="5"/>
        <v>12</v>
      </c>
      <c r="B38" s="15">
        <f t="shared" si="1"/>
        <v>70.710678118654755</v>
      </c>
      <c r="C38" s="3">
        <f t="shared" si="6"/>
        <v>70.710678118654741</v>
      </c>
      <c r="D38" s="3">
        <f t="shared" si="7"/>
        <v>848.52813742385706</v>
      </c>
      <c r="E38" s="3">
        <f t="shared" si="8"/>
        <v>142.92813742385681</v>
      </c>
    </row>
    <row r="39" spans="1:5" x14ac:dyDescent="0.25">
      <c r="A39" s="15">
        <f t="shared" si="5"/>
        <v>12.5</v>
      </c>
      <c r="B39" s="15">
        <f t="shared" si="1"/>
        <v>70.710678118654755</v>
      </c>
      <c r="C39" s="3">
        <f t="shared" si="6"/>
        <v>70.710678118654741</v>
      </c>
      <c r="D39" s="3">
        <f t="shared" si="7"/>
        <v>883.8834764831845</v>
      </c>
      <c r="E39" s="3">
        <f t="shared" si="8"/>
        <v>118.25847648318415</v>
      </c>
    </row>
    <row r="40" spans="1:5" x14ac:dyDescent="0.25">
      <c r="A40" s="15">
        <f t="shared" si="5"/>
        <v>13</v>
      </c>
      <c r="B40" s="15">
        <f t="shared" si="1"/>
        <v>70.710678118654755</v>
      </c>
      <c r="C40" s="3">
        <f t="shared" si="6"/>
        <v>70.710678118654741</v>
      </c>
      <c r="D40" s="3">
        <f t="shared" si="7"/>
        <v>919.23881554251182</v>
      </c>
      <c r="E40" s="3">
        <f t="shared" si="8"/>
        <v>91.138815542511566</v>
      </c>
    </row>
    <row r="41" spans="1:5" x14ac:dyDescent="0.25">
      <c r="A41" s="15">
        <f t="shared" si="5"/>
        <v>13.5</v>
      </c>
      <c r="B41" s="15">
        <f t="shared" si="1"/>
        <v>70.710678118654755</v>
      </c>
      <c r="C41" s="3">
        <f t="shared" si="6"/>
        <v>70.710678118654741</v>
      </c>
      <c r="D41" s="3">
        <f t="shared" si="7"/>
        <v>954.59415460183914</v>
      </c>
      <c r="E41" s="3">
        <f t="shared" si="8"/>
        <v>61.569154601838932</v>
      </c>
    </row>
    <row r="42" spans="1:5" x14ac:dyDescent="0.25">
      <c r="A42" s="15">
        <f t="shared" si="5"/>
        <v>14</v>
      </c>
      <c r="B42" s="15">
        <f t="shared" si="1"/>
        <v>70.710678118654755</v>
      </c>
      <c r="C42" s="3">
        <f t="shared" si="6"/>
        <v>70.710678118654741</v>
      </c>
      <c r="D42" s="3">
        <f t="shared" si="7"/>
        <v>989.94949366116657</v>
      </c>
      <c r="E42" s="3">
        <f t="shared" si="8"/>
        <v>29.549493661166252</v>
      </c>
    </row>
    <row r="43" spans="1:5" x14ac:dyDescent="0.25">
      <c r="A43" s="15">
        <f t="shared" si="5"/>
        <v>14.5</v>
      </c>
      <c r="B43" s="15">
        <f t="shared" si="1"/>
        <v>70.710678118654755</v>
      </c>
      <c r="C43" s="3">
        <f t="shared" si="6"/>
        <v>70.710678118654741</v>
      </c>
      <c r="D43" s="3">
        <f t="shared" si="7"/>
        <v>1025.304832720494</v>
      </c>
      <c r="E43" s="3">
        <f t="shared" si="8"/>
        <v>-4.9201672795063587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6" zoomScale="85" zoomScaleNormal="85" workbookViewId="0">
      <selection activeCell="L44" sqref="L44"/>
    </sheetView>
  </sheetViews>
  <sheetFormatPr defaultRowHeight="15" x14ac:dyDescent="0.25"/>
  <cols>
    <col min="6" max="6" width="10.42578125" bestFit="1" customWidth="1"/>
    <col min="9" max="9" width="10.5703125" customWidth="1"/>
  </cols>
  <sheetData>
    <row r="1" spans="1:9" ht="19.5" thickBot="1" x14ac:dyDescent="0.35">
      <c r="A1" s="1" t="s">
        <v>1</v>
      </c>
    </row>
    <row r="2" spans="1:9" x14ac:dyDescent="0.25">
      <c r="A2" s="4" t="s">
        <v>0</v>
      </c>
      <c r="B2" s="5" t="s">
        <v>19</v>
      </c>
      <c r="C2" s="5"/>
      <c r="D2" s="5"/>
      <c r="E2" s="5"/>
      <c r="F2" s="6"/>
    </row>
    <row r="3" spans="1:9" x14ac:dyDescent="0.25">
      <c r="A3" s="7" t="s">
        <v>2</v>
      </c>
      <c r="B3" s="3" t="s">
        <v>20</v>
      </c>
      <c r="C3" s="3"/>
      <c r="D3" s="3"/>
      <c r="E3" s="3" t="s">
        <v>5</v>
      </c>
      <c r="F3" s="17">
        <v>46139</v>
      </c>
    </row>
    <row r="4" spans="1:9" x14ac:dyDescent="0.25">
      <c r="A4" s="7" t="s">
        <v>3</v>
      </c>
      <c r="B4" s="3" t="s">
        <v>21</v>
      </c>
      <c r="C4" s="3"/>
      <c r="D4" s="3"/>
      <c r="E4" s="3"/>
      <c r="F4" s="8"/>
    </row>
    <row r="5" spans="1:9" ht="15.75" thickBot="1" x14ac:dyDescent="0.3">
      <c r="A5" s="9" t="s">
        <v>4</v>
      </c>
      <c r="B5" s="10">
        <v>1</v>
      </c>
      <c r="C5" s="10"/>
      <c r="D5" s="10"/>
      <c r="E5" s="10"/>
      <c r="F5" s="11"/>
    </row>
    <row r="6" spans="1:9" ht="15.75" thickBot="1" x14ac:dyDescent="0.3"/>
    <row r="7" spans="1:9" x14ac:dyDescent="0.25">
      <c r="A7" s="4" t="s">
        <v>6</v>
      </c>
      <c r="B7" s="5">
        <v>100</v>
      </c>
      <c r="C7" s="6" t="s">
        <v>10</v>
      </c>
    </row>
    <row r="8" spans="1:9" x14ac:dyDescent="0.25">
      <c r="A8" s="7" t="s">
        <v>7</v>
      </c>
      <c r="B8" s="3">
        <v>60</v>
      </c>
      <c r="C8" s="8" t="s">
        <v>11</v>
      </c>
    </row>
    <row r="9" spans="1:9" x14ac:dyDescent="0.25">
      <c r="A9" s="7" t="s">
        <v>8</v>
      </c>
      <c r="B9" s="3">
        <v>9.8000000000000007</v>
      </c>
      <c r="C9" s="8" t="s">
        <v>12</v>
      </c>
    </row>
    <row r="10" spans="1:9" ht="15.75" thickBot="1" x14ac:dyDescent="0.3">
      <c r="A10" s="9" t="s">
        <v>9</v>
      </c>
      <c r="B10" s="10">
        <v>0.5</v>
      </c>
      <c r="C10" s="11" t="s">
        <v>13</v>
      </c>
    </row>
    <row r="12" spans="1:9" ht="15.75" thickBot="1" x14ac:dyDescent="0.3"/>
    <row r="13" spans="1:9" ht="15.75" thickBot="1" x14ac:dyDescent="0.3">
      <c r="A13" s="12" t="s">
        <v>14</v>
      </c>
      <c r="B13" s="13" t="s">
        <v>15</v>
      </c>
      <c r="C13" s="13" t="s">
        <v>16</v>
      </c>
      <c r="D13" s="13" t="s">
        <v>17</v>
      </c>
      <c r="E13" s="14" t="s">
        <v>18</v>
      </c>
    </row>
    <row r="14" spans="1:9" x14ac:dyDescent="0.25">
      <c r="A14" s="3">
        <v>0</v>
      </c>
      <c r="B14" s="3">
        <v>0</v>
      </c>
      <c r="C14" s="3">
        <v>0</v>
      </c>
      <c r="D14" s="3">
        <v>0</v>
      </c>
      <c r="E14" s="3">
        <v>0</v>
      </c>
    </row>
    <row r="15" spans="1:9" x14ac:dyDescent="0.25">
      <c r="A15" s="3">
        <f>A14+B$10</f>
        <v>0.5</v>
      </c>
      <c r="B15" s="3">
        <f>B$7*COS(RADIANS(B$8))</f>
        <v>50.000000000000014</v>
      </c>
      <c r="C15" s="3">
        <f>B$7*SIN(RADIANS(B$8))</f>
        <v>86.602540378443862</v>
      </c>
      <c r="D15" s="3">
        <f>B$15*A15</f>
        <v>25.000000000000007</v>
      </c>
      <c r="E15" s="3">
        <f>C$15*A15-0.5*B$9*A15*A15</f>
        <v>42.07627018922193</v>
      </c>
      <c r="G15" s="16" t="s">
        <v>22</v>
      </c>
      <c r="H15" s="16" t="s">
        <v>23</v>
      </c>
      <c r="I15" s="16" t="s">
        <v>24</v>
      </c>
    </row>
    <row r="16" spans="1:9" x14ac:dyDescent="0.25">
      <c r="A16" s="3">
        <f t="shared" ref="A16:A35" si="0">A15+B$10</f>
        <v>1</v>
      </c>
      <c r="B16" s="3">
        <f t="shared" ref="B16:B57" si="1">B$7*COS(RADIANS(B$8))</f>
        <v>50.000000000000014</v>
      </c>
      <c r="C16" s="3">
        <f t="shared" ref="C16:C35" si="2">B$7*SIN(RADIANS(B$8))</f>
        <v>86.602540378443862</v>
      </c>
      <c r="D16" s="3">
        <f t="shared" ref="D16:D35" si="3">B$15*A16</f>
        <v>50.000000000000014</v>
      </c>
      <c r="E16" s="3">
        <f t="shared" ref="E16:E35" si="4">C$15*A16-0.5*B$9*A16*A16</f>
        <v>81.702540378443857</v>
      </c>
      <c r="G16" s="3" t="s">
        <v>25</v>
      </c>
      <c r="H16" s="3">
        <v>875</v>
      </c>
      <c r="I16" s="3">
        <f>B7*B7*SIN(RADIANS(2*B8))/B9</f>
        <v>883.69939161677405</v>
      </c>
    </row>
    <row r="17" spans="1:9" x14ac:dyDescent="0.25">
      <c r="A17" s="3">
        <f t="shared" si="0"/>
        <v>1.5</v>
      </c>
      <c r="B17" s="3">
        <f t="shared" si="1"/>
        <v>50.000000000000014</v>
      </c>
      <c r="C17" s="3">
        <f t="shared" si="2"/>
        <v>86.602540378443862</v>
      </c>
      <c r="D17" s="3">
        <f t="shared" si="3"/>
        <v>75.000000000000028</v>
      </c>
      <c r="E17" s="3">
        <f t="shared" si="4"/>
        <v>118.87881056766579</v>
      </c>
      <c r="G17" s="3" t="s">
        <v>26</v>
      </c>
      <c r="H17" s="3">
        <v>382.52289999999999</v>
      </c>
      <c r="I17" s="3">
        <f>B$7*B$7*SIN(RADIANS(B8))*SIN(RADIANS(B$8))/(2*B$9)</f>
        <v>382.6530612244897</v>
      </c>
    </row>
    <row r="18" spans="1:9" x14ac:dyDescent="0.25">
      <c r="A18" s="3">
        <f t="shared" si="0"/>
        <v>2</v>
      </c>
      <c r="B18" s="3">
        <f t="shared" si="1"/>
        <v>50.000000000000014</v>
      </c>
      <c r="C18" s="3">
        <f t="shared" si="2"/>
        <v>86.602540378443862</v>
      </c>
      <c r="D18" s="3">
        <f t="shared" si="3"/>
        <v>100.00000000000003</v>
      </c>
      <c r="E18" s="3">
        <f t="shared" si="4"/>
        <v>153.60508075688773</v>
      </c>
    </row>
    <row r="19" spans="1:9" x14ac:dyDescent="0.25">
      <c r="A19" s="3">
        <f t="shared" si="0"/>
        <v>2.5</v>
      </c>
      <c r="B19" s="3">
        <f t="shared" si="1"/>
        <v>50.000000000000014</v>
      </c>
      <c r="C19" s="3">
        <f t="shared" si="2"/>
        <v>86.602540378443862</v>
      </c>
      <c r="D19" s="3">
        <f t="shared" si="3"/>
        <v>125.00000000000003</v>
      </c>
      <c r="E19" s="3">
        <f t="shared" si="4"/>
        <v>185.88135094610965</v>
      </c>
    </row>
    <row r="20" spans="1:9" x14ac:dyDescent="0.25">
      <c r="A20" s="3">
        <f t="shared" si="0"/>
        <v>3</v>
      </c>
      <c r="B20" s="3">
        <f t="shared" si="1"/>
        <v>50.000000000000014</v>
      </c>
      <c r="C20" s="3">
        <f t="shared" si="2"/>
        <v>86.602540378443862</v>
      </c>
      <c r="D20" s="3">
        <f t="shared" si="3"/>
        <v>150.00000000000006</v>
      </c>
      <c r="E20" s="3">
        <f t="shared" si="4"/>
        <v>215.70762113533161</v>
      </c>
    </row>
    <row r="21" spans="1:9" x14ac:dyDescent="0.25">
      <c r="A21" s="3">
        <f t="shared" si="0"/>
        <v>3.5</v>
      </c>
      <c r="B21" s="3">
        <f t="shared" si="1"/>
        <v>50.000000000000014</v>
      </c>
      <c r="C21" s="3">
        <f t="shared" si="2"/>
        <v>86.602540378443862</v>
      </c>
      <c r="D21" s="3">
        <f t="shared" si="3"/>
        <v>175.00000000000006</v>
      </c>
      <c r="E21" s="3">
        <f t="shared" si="4"/>
        <v>243.08389132455349</v>
      </c>
    </row>
    <row r="22" spans="1:9" x14ac:dyDescent="0.25">
      <c r="A22" s="3">
        <f t="shared" si="0"/>
        <v>4</v>
      </c>
      <c r="B22" s="3">
        <f t="shared" si="1"/>
        <v>50.000000000000014</v>
      </c>
      <c r="C22" s="3">
        <f t="shared" si="2"/>
        <v>86.602540378443862</v>
      </c>
      <c r="D22" s="3">
        <f t="shared" si="3"/>
        <v>200.00000000000006</v>
      </c>
      <c r="E22" s="3">
        <f t="shared" si="4"/>
        <v>268.01016151377542</v>
      </c>
    </row>
    <row r="23" spans="1:9" x14ac:dyDescent="0.25">
      <c r="A23" s="3">
        <f>A22+B$10</f>
        <v>4.5</v>
      </c>
      <c r="B23" s="3">
        <f t="shared" si="1"/>
        <v>50.000000000000014</v>
      </c>
      <c r="C23" s="3">
        <f t="shared" si="2"/>
        <v>86.602540378443862</v>
      </c>
      <c r="D23" s="3">
        <f t="shared" si="3"/>
        <v>225.00000000000006</v>
      </c>
      <c r="E23" s="3">
        <f t="shared" si="4"/>
        <v>290.48643170299738</v>
      </c>
    </row>
    <row r="24" spans="1:9" x14ac:dyDescent="0.25">
      <c r="A24" s="3">
        <f t="shared" si="0"/>
        <v>5</v>
      </c>
      <c r="B24" s="3">
        <f t="shared" si="1"/>
        <v>50.000000000000014</v>
      </c>
      <c r="C24" s="3">
        <f t="shared" si="2"/>
        <v>86.602540378443862</v>
      </c>
      <c r="D24" s="3">
        <f t="shared" si="3"/>
        <v>250.00000000000006</v>
      </c>
      <c r="E24" s="3">
        <f t="shared" si="4"/>
        <v>310.5127018922193</v>
      </c>
    </row>
    <row r="25" spans="1:9" x14ac:dyDescent="0.25">
      <c r="A25" s="3">
        <f t="shared" si="0"/>
        <v>5.5</v>
      </c>
      <c r="B25" s="3">
        <f t="shared" si="1"/>
        <v>50.000000000000014</v>
      </c>
      <c r="C25" s="3">
        <f t="shared" si="2"/>
        <v>86.602540378443862</v>
      </c>
      <c r="D25" s="3">
        <f t="shared" si="3"/>
        <v>275.00000000000006</v>
      </c>
      <c r="E25" s="3">
        <f t="shared" si="4"/>
        <v>328.08897208144123</v>
      </c>
    </row>
    <row r="26" spans="1:9" x14ac:dyDescent="0.25">
      <c r="A26" s="3">
        <f t="shared" si="0"/>
        <v>6</v>
      </c>
      <c r="B26" s="3">
        <f t="shared" si="1"/>
        <v>50.000000000000014</v>
      </c>
      <c r="C26" s="3">
        <f t="shared" si="2"/>
        <v>86.602540378443862</v>
      </c>
      <c r="D26" s="3">
        <f t="shared" si="3"/>
        <v>300.00000000000011</v>
      </c>
      <c r="E26" s="3">
        <f t="shared" si="4"/>
        <v>343.21524227066323</v>
      </c>
    </row>
    <row r="27" spans="1:9" x14ac:dyDescent="0.25">
      <c r="A27" s="3">
        <f t="shared" si="0"/>
        <v>6.5</v>
      </c>
      <c r="B27" s="3">
        <f t="shared" si="1"/>
        <v>50.000000000000014</v>
      </c>
      <c r="C27" s="3">
        <f t="shared" si="2"/>
        <v>86.602540378443862</v>
      </c>
      <c r="D27" s="3">
        <f t="shared" si="3"/>
        <v>325.00000000000011</v>
      </c>
      <c r="E27" s="3">
        <f t="shared" si="4"/>
        <v>355.89151245988512</v>
      </c>
    </row>
    <row r="28" spans="1:9" x14ac:dyDescent="0.25">
      <c r="A28" s="3">
        <f t="shared" si="0"/>
        <v>7</v>
      </c>
      <c r="B28" s="3">
        <f t="shared" si="1"/>
        <v>50.000000000000014</v>
      </c>
      <c r="C28" s="3">
        <f t="shared" si="2"/>
        <v>86.602540378443862</v>
      </c>
      <c r="D28" s="3">
        <f t="shared" si="3"/>
        <v>350.00000000000011</v>
      </c>
      <c r="E28" s="3">
        <f t="shared" si="4"/>
        <v>366.11778264910697</v>
      </c>
    </row>
    <row r="29" spans="1:9" x14ac:dyDescent="0.25">
      <c r="A29" s="3">
        <f t="shared" si="0"/>
        <v>7.5</v>
      </c>
      <c r="B29" s="3">
        <f t="shared" si="1"/>
        <v>50.000000000000014</v>
      </c>
      <c r="C29" s="3">
        <f t="shared" si="2"/>
        <v>86.602540378443862</v>
      </c>
      <c r="D29" s="3">
        <f t="shared" si="3"/>
        <v>375.00000000000011</v>
      </c>
      <c r="E29" s="3">
        <f t="shared" si="4"/>
        <v>373.894052838329</v>
      </c>
    </row>
    <row r="30" spans="1:9" x14ac:dyDescent="0.25">
      <c r="A30" s="3">
        <f t="shared" si="0"/>
        <v>8</v>
      </c>
      <c r="B30" s="3">
        <f t="shared" si="1"/>
        <v>50.000000000000014</v>
      </c>
      <c r="C30" s="3">
        <f t="shared" si="2"/>
        <v>86.602540378443862</v>
      </c>
      <c r="D30" s="3">
        <f t="shared" si="3"/>
        <v>400.00000000000011</v>
      </c>
      <c r="E30" s="3">
        <f t="shared" si="4"/>
        <v>379.22032302755088</v>
      </c>
    </row>
    <row r="31" spans="1:9" x14ac:dyDescent="0.25">
      <c r="A31" s="3">
        <f t="shared" si="0"/>
        <v>8.5</v>
      </c>
      <c r="B31" s="3">
        <f t="shared" si="1"/>
        <v>50.000000000000014</v>
      </c>
      <c r="C31" s="3">
        <f t="shared" si="2"/>
        <v>86.602540378443862</v>
      </c>
      <c r="D31" s="3">
        <f t="shared" si="3"/>
        <v>425.00000000000011</v>
      </c>
      <c r="E31" s="3">
        <f t="shared" si="4"/>
        <v>382.09659321677276</v>
      </c>
    </row>
    <row r="32" spans="1:9" x14ac:dyDescent="0.25">
      <c r="A32" s="3">
        <f t="shared" si="0"/>
        <v>9</v>
      </c>
      <c r="B32" s="3">
        <f t="shared" si="1"/>
        <v>50.000000000000014</v>
      </c>
      <c r="C32" s="3">
        <f t="shared" si="2"/>
        <v>86.602540378443862</v>
      </c>
      <c r="D32" s="3">
        <f t="shared" si="3"/>
        <v>450.00000000000011</v>
      </c>
      <c r="E32" s="3">
        <f t="shared" si="4"/>
        <v>382.52286340599477</v>
      </c>
    </row>
    <row r="33" spans="1:5" x14ac:dyDescent="0.25">
      <c r="A33" s="3">
        <f t="shared" si="0"/>
        <v>9.5</v>
      </c>
      <c r="B33" s="3">
        <f t="shared" si="1"/>
        <v>50.000000000000014</v>
      </c>
      <c r="C33" s="3">
        <f t="shared" si="2"/>
        <v>86.602540378443862</v>
      </c>
      <c r="D33" s="3">
        <f t="shared" si="3"/>
        <v>475.00000000000011</v>
      </c>
      <c r="E33" s="3">
        <f t="shared" si="4"/>
        <v>380.49913359521668</v>
      </c>
    </row>
    <row r="34" spans="1:5" x14ac:dyDescent="0.25">
      <c r="A34" s="15">
        <f t="shared" si="0"/>
        <v>10</v>
      </c>
      <c r="B34" s="15">
        <f t="shared" si="1"/>
        <v>50.000000000000014</v>
      </c>
      <c r="C34" s="3">
        <f t="shared" si="2"/>
        <v>86.602540378443862</v>
      </c>
      <c r="D34" s="3">
        <f t="shared" si="3"/>
        <v>500.00000000000011</v>
      </c>
      <c r="E34" s="3">
        <f t="shared" si="4"/>
        <v>376.02540378443859</v>
      </c>
    </row>
    <row r="35" spans="1:5" x14ac:dyDescent="0.25">
      <c r="A35" s="15">
        <f t="shared" si="0"/>
        <v>10.5</v>
      </c>
      <c r="B35" s="15">
        <f t="shared" si="1"/>
        <v>50.000000000000014</v>
      </c>
      <c r="C35" s="3">
        <f t="shared" si="2"/>
        <v>86.602540378443862</v>
      </c>
      <c r="D35" s="3">
        <f t="shared" si="3"/>
        <v>525.00000000000011</v>
      </c>
      <c r="E35" s="3">
        <f t="shared" si="4"/>
        <v>369.10167397366058</v>
      </c>
    </row>
    <row r="36" spans="1:5" x14ac:dyDescent="0.25">
      <c r="A36" s="15">
        <f t="shared" ref="A36:A40" si="5">A35+B$10</f>
        <v>11</v>
      </c>
      <c r="B36" s="15">
        <f t="shared" si="1"/>
        <v>50.000000000000014</v>
      </c>
      <c r="C36" s="3">
        <f t="shared" ref="C36:C40" si="6">B$7*SIN(RADIANS(B$8))</f>
        <v>86.602540378443862</v>
      </c>
      <c r="D36" s="3">
        <f t="shared" ref="D36:D40" si="7">B$15*A36</f>
        <v>550.00000000000011</v>
      </c>
      <c r="E36" s="3">
        <f t="shared" ref="E36:E40" si="8">C$15*A36-0.5*B$9*A36*A36</f>
        <v>359.72794416288241</v>
      </c>
    </row>
    <row r="37" spans="1:5" x14ac:dyDescent="0.25">
      <c r="A37" s="15">
        <f t="shared" si="5"/>
        <v>11.5</v>
      </c>
      <c r="B37" s="15">
        <f t="shared" si="1"/>
        <v>50.000000000000014</v>
      </c>
      <c r="C37" s="3">
        <f t="shared" si="6"/>
        <v>86.602540378443862</v>
      </c>
      <c r="D37" s="3">
        <f t="shared" si="7"/>
        <v>575.00000000000011</v>
      </c>
      <c r="E37" s="3">
        <f t="shared" si="8"/>
        <v>347.90421435210442</v>
      </c>
    </row>
    <row r="38" spans="1:5" x14ac:dyDescent="0.25">
      <c r="A38" s="15">
        <f t="shared" si="5"/>
        <v>12</v>
      </c>
      <c r="B38" s="15">
        <f t="shared" si="1"/>
        <v>50.000000000000014</v>
      </c>
      <c r="C38" s="3">
        <f t="shared" si="6"/>
        <v>86.602540378443862</v>
      </c>
      <c r="D38" s="3">
        <f t="shared" si="7"/>
        <v>600.00000000000023</v>
      </c>
      <c r="E38" s="3">
        <f t="shared" si="8"/>
        <v>333.63048454132638</v>
      </c>
    </row>
    <row r="39" spans="1:5" x14ac:dyDescent="0.25">
      <c r="A39" s="15">
        <f t="shared" si="5"/>
        <v>12.5</v>
      </c>
      <c r="B39" s="15">
        <f t="shared" si="1"/>
        <v>50.000000000000014</v>
      </c>
      <c r="C39" s="3">
        <f t="shared" si="6"/>
        <v>86.602540378443862</v>
      </c>
      <c r="D39" s="3">
        <f t="shared" si="7"/>
        <v>625.00000000000023</v>
      </c>
      <c r="E39" s="3">
        <f t="shared" si="8"/>
        <v>316.90675473054819</v>
      </c>
    </row>
    <row r="40" spans="1:5" x14ac:dyDescent="0.25">
      <c r="A40" s="15">
        <f t="shared" si="5"/>
        <v>13</v>
      </c>
      <c r="B40" s="15">
        <f t="shared" si="1"/>
        <v>50.000000000000014</v>
      </c>
      <c r="C40" s="3">
        <f t="shared" si="6"/>
        <v>86.602540378443862</v>
      </c>
      <c r="D40" s="3">
        <f t="shared" si="7"/>
        <v>650.00000000000023</v>
      </c>
      <c r="E40" s="3">
        <f t="shared" si="8"/>
        <v>297.73302491977017</v>
      </c>
    </row>
    <row r="41" spans="1:5" x14ac:dyDescent="0.25">
      <c r="A41" s="15">
        <f t="shared" ref="A41:A50" si="9">A40+B$10</f>
        <v>13.5</v>
      </c>
      <c r="B41" s="15">
        <f t="shared" si="1"/>
        <v>50.000000000000014</v>
      </c>
      <c r="C41" s="3">
        <f t="shared" ref="C41:C50" si="10">B$7*SIN(RADIANS(B$8))</f>
        <v>86.602540378443862</v>
      </c>
      <c r="D41" s="3">
        <f t="shared" ref="D41:D50" si="11">B$15*A41</f>
        <v>675.00000000000023</v>
      </c>
      <c r="E41" s="3">
        <f t="shared" ref="E41:E50" si="12">C$15*A41-0.5*B$9*A41*A41</f>
        <v>276.109295108992</v>
      </c>
    </row>
    <row r="42" spans="1:5" x14ac:dyDescent="0.25">
      <c r="A42" s="15">
        <f t="shared" si="9"/>
        <v>14</v>
      </c>
      <c r="B42" s="15">
        <f t="shared" si="1"/>
        <v>50.000000000000014</v>
      </c>
      <c r="C42" s="3">
        <f t="shared" si="10"/>
        <v>86.602540378443862</v>
      </c>
      <c r="D42" s="3">
        <f t="shared" si="11"/>
        <v>700.00000000000023</v>
      </c>
      <c r="E42" s="3">
        <f t="shared" si="12"/>
        <v>252.0355652982139</v>
      </c>
    </row>
    <row r="43" spans="1:5" x14ac:dyDescent="0.25">
      <c r="A43" s="15">
        <f t="shared" si="9"/>
        <v>14.5</v>
      </c>
      <c r="B43" s="15">
        <f t="shared" si="1"/>
        <v>50.000000000000014</v>
      </c>
      <c r="C43" s="3">
        <f t="shared" si="10"/>
        <v>86.602540378443862</v>
      </c>
      <c r="D43" s="3">
        <f t="shared" si="11"/>
        <v>725.00000000000023</v>
      </c>
      <c r="E43" s="3">
        <f t="shared" si="12"/>
        <v>225.51183548743597</v>
      </c>
    </row>
    <row r="44" spans="1:5" x14ac:dyDescent="0.25">
      <c r="A44" s="15">
        <f t="shared" si="9"/>
        <v>15</v>
      </c>
      <c r="B44" s="15">
        <f t="shared" si="1"/>
        <v>50.000000000000014</v>
      </c>
      <c r="C44" s="3">
        <f t="shared" si="10"/>
        <v>86.602540378443862</v>
      </c>
      <c r="D44" s="3">
        <f t="shared" si="11"/>
        <v>750.00000000000023</v>
      </c>
      <c r="E44" s="3">
        <f t="shared" si="12"/>
        <v>196.53810567665801</v>
      </c>
    </row>
    <row r="45" spans="1:5" x14ac:dyDescent="0.25">
      <c r="A45" s="15">
        <f t="shared" si="9"/>
        <v>15.5</v>
      </c>
      <c r="B45" s="15">
        <f t="shared" si="1"/>
        <v>50.000000000000014</v>
      </c>
      <c r="C45" s="3">
        <f t="shared" si="10"/>
        <v>86.602540378443862</v>
      </c>
      <c r="D45" s="3">
        <f t="shared" si="11"/>
        <v>775.00000000000023</v>
      </c>
      <c r="E45" s="3">
        <f t="shared" si="12"/>
        <v>165.11437586587977</v>
      </c>
    </row>
    <row r="46" spans="1:5" x14ac:dyDescent="0.25">
      <c r="A46" s="15">
        <f t="shared" si="9"/>
        <v>16</v>
      </c>
      <c r="B46" s="15">
        <f t="shared" si="1"/>
        <v>50.000000000000014</v>
      </c>
      <c r="C46" s="3">
        <f t="shared" si="10"/>
        <v>86.602540378443862</v>
      </c>
      <c r="D46" s="3">
        <f t="shared" si="11"/>
        <v>800.00000000000023</v>
      </c>
      <c r="E46" s="3">
        <f t="shared" si="12"/>
        <v>131.24064605510171</v>
      </c>
    </row>
    <row r="47" spans="1:5" x14ac:dyDescent="0.25">
      <c r="A47" s="15">
        <f t="shared" si="9"/>
        <v>16.5</v>
      </c>
      <c r="B47" s="15">
        <f t="shared" si="1"/>
        <v>50.000000000000014</v>
      </c>
      <c r="C47" s="3">
        <f t="shared" si="10"/>
        <v>86.602540378443862</v>
      </c>
      <c r="D47" s="3">
        <f t="shared" si="11"/>
        <v>825.00000000000023</v>
      </c>
      <c r="E47" s="3">
        <f t="shared" si="12"/>
        <v>94.916916244323602</v>
      </c>
    </row>
    <row r="48" spans="1:5" x14ac:dyDescent="0.25">
      <c r="A48" s="15">
        <f t="shared" si="9"/>
        <v>17</v>
      </c>
      <c r="B48" s="15">
        <f t="shared" si="1"/>
        <v>50.000000000000014</v>
      </c>
      <c r="C48" s="3">
        <f t="shared" si="10"/>
        <v>86.602540378443862</v>
      </c>
      <c r="D48" s="3">
        <f t="shared" si="11"/>
        <v>850.00000000000023</v>
      </c>
      <c r="E48" s="3">
        <f t="shared" si="12"/>
        <v>56.143186433545452</v>
      </c>
    </row>
    <row r="49" spans="1:5" x14ac:dyDescent="0.25">
      <c r="A49" s="15">
        <f t="shared" si="9"/>
        <v>17.5</v>
      </c>
      <c r="B49" s="15">
        <f t="shared" si="1"/>
        <v>50.000000000000014</v>
      </c>
      <c r="C49" s="3">
        <f t="shared" si="10"/>
        <v>86.602540378443862</v>
      </c>
      <c r="D49" s="3">
        <f t="shared" si="11"/>
        <v>875.00000000000023</v>
      </c>
      <c r="E49" s="3">
        <f t="shared" si="12"/>
        <v>14.919456622767484</v>
      </c>
    </row>
    <row r="50" spans="1:5" x14ac:dyDescent="0.25">
      <c r="A50" s="15">
        <f t="shared" si="9"/>
        <v>18</v>
      </c>
      <c r="B50" s="15">
        <f t="shared" si="1"/>
        <v>50.000000000000014</v>
      </c>
      <c r="C50" s="3">
        <f t="shared" si="10"/>
        <v>86.602540378443862</v>
      </c>
      <c r="D50" s="3">
        <f t="shared" si="11"/>
        <v>900.00000000000023</v>
      </c>
      <c r="E50" s="3">
        <f t="shared" si="12"/>
        <v>-28.754273188010529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30</vt:lpstr>
      <vt:lpstr>45</vt:lpstr>
      <vt:lpstr>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BMSIT</dc:creator>
  <cp:lastModifiedBy>BMSIT</cp:lastModifiedBy>
  <dcterms:created xsi:type="dcterms:W3CDTF">2026-04-27T03:27:25Z</dcterms:created>
  <dcterms:modified xsi:type="dcterms:W3CDTF">2026-04-27T04:53:51Z</dcterms:modified>
</cp:coreProperties>
</file>